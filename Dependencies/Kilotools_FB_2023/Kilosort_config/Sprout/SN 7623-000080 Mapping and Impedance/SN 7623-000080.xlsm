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S:\Manufacturing\Customer Array Information\RMA\RMA 2824\"/>
    </mc:Choice>
  </mc:AlternateContent>
  <xr:revisionPtr revIDLastSave="0" documentId="8_{161D46FD-1417-482A-B1F6-5031E9EA48F3}" xr6:coauthVersionLast="47" xr6:coauthVersionMax="47" xr10:uidLastSave="{00000000-0000-0000-0000-000000000000}"/>
  <bookViews>
    <workbookView xWindow="28680" yWindow="-120" windowWidth="29040" windowHeight="16440" activeTab="1" xr2:uid="{00000000-000D-0000-FFFF-FFFF00000000}"/>
  </bookViews>
  <sheets>
    <sheet name="autoZ data" sheetId="5" r:id="rId1"/>
    <sheet name="Z check" sheetId="2" r:id="rId2"/>
    <sheet name="Cerebus mapping.xls" sheetId="3" r:id="rId3"/>
  </sheets>
  <functionGroups builtInGroupCount="19"/>
  <definedNames>
    <definedName name="arraycols">'Z check'!$AE$12:$AE$28</definedName>
    <definedName name="arrayrows">'Z check'!$AD$12:$AD$44</definedName>
    <definedName name="arrayspace">'Z check'!$M$12:$AC$44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 i="2" l="1"/>
  <c r="AM23" i="2" s="1"/>
  <c r="H14" i="2"/>
  <c r="AO19" i="2" s="1"/>
  <c r="H15" i="2"/>
  <c r="AM22" i="2" s="1"/>
  <c r="H16" i="2"/>
  <c r="AO18" i="2"/>
  <c r="H17" i="2"/>
  <c r="AM21" i="2" s="1"/>
  <c r="H18" i="2"/>
  <c r="AO17" i="2" s="1"/>
  <c r="H19" i="2"/>
  <c r="AM20" i="2" s="1"/>
  <c r="H20" i="2"/>
  <c r="AO16" i="2" s="1"/>
  <c r="H21" i="2"/>
  <c r="AM19" i="2" s="1"/>
  <c r="H22" i="2"/>
  <c r="AN25" i="2" s="1"/>
  <c r="H23" i="2"/>
  <c r="AM18" i="2" s="1"/>
  <c r="H24" i="2"/>
  <c r="AN24" i="2" s="1"/>
  <c r="H25" i="2"/>
  <c r="AM17" i="2" s="1"/>
  <c r="H26" i="2"/>
  <c r="AN23" i="2" s="1"/>
  <c r="H27" i="2"/>
  <c r="AM16" i="2" s="1"/>
  <c r="H28" i="2"/>
  <c r="AN22" i="2" s="1"/>
  <c r="H29" i="2"/>
  <c r="AL24" i="2" s="1"/>
  <c r="H30" i="2"/>
  <c r="AN21" i="2" s="1"/>
  <c r="H31" i="2"/>
  <c r="AL23" i="2" s="1"/>
  <c r="H32" i="2"/>
  <c r="AN20" i="2" s="1"/>
  <c r="H33" i="2"/>
  <c r="AL22" i="2" s="1"/>
  <c r="H34" i="2"/>
  <c r="AN19" i="2" s="1"/>
  <c r="H35" i="2"/>
  <c r="AL21" i="2" s="1"/>
  <c r="H36" i="2"/>
  <c r="AN18" i="2" s="1"/>
  <c r="H37" i="2"/>
  <c r="AL20" i="2" s="1"/>
  <c r="H38" i="2"/>
  <c r="AN17" i="2" s="1"/>
  <c r="H39" i="2"/>
  <c r="AL19" i="2" s="1"/>
  <c r="H40" i="2"/>
  <c r="AN16" i="2" s="1"/>
  <c r="H41" i="2"/>
  <c r="AL18" i="2" s="1"/>
  <c r="H42" i="2"/>
  <c r="AM25" i="2"/>
  <c r="H43" i="2"/>
  <c r="AL17" i="2" s="1"/>
  <c r="H44" i="2"/>
  <c r="AM24" i="2" s="1"/>
  <c r="E13" i="2"/>
  <c r="AL25" i="2" s="1"/>
  <c r="E14" i="2"/>
  <c r="AR21" i="2" s="1"/>
  <c r="E15" i="2"/>
  <c r="AP24" i="2" s="1"/>
  <c r="E16" i="2"/>
  <c r="AR20" i="2" s="1"/>
  <c r="E17" i="2"/>
  <c r="AP23" i="2" s="1"/>
  <c r="E18" i="2"/>
  <c r="AR19" i="2" s="1"/>
  <c r="E19" i="2"/>
  <c r="AP22" i="2" s="1"/>
  <c r="E20" i="2"/>
  <c r="AR18" i="2" s="1"/>
  <c r="E21" i="2"/>
  <c r="AP21" i="2" s="1"/>
  <c r="E22" i="2"/>
  <c r="AR17" i="2" s="1"/>
  <c r="E23" i="2"/>
  <c r="AP20" i="2" s="1"/>
  <c r="E24" i="2"/>
  <c r="AR16" i="2" s="1"/>
  <c r="E25" i="2"/>
  <c r="AP19" i="2" s="1"/>
  <c r="E26" i="2"/>
  <c r="AQ25" i="2" s="1"/>
  <c r="E27" i="2"/>
  <c r="AP18" i="2" s="1"/>
  <c r="E28" i="2"/>
  <c r="AQ24" i="2" s="1"/>
  <c r="E29" i="2"/>
  <c r="AP17" i="2" s="1"/>
  <c r="E30" i="2"/>
  <c r="AQ23" i="2" s="1"/>
  <c r="E31" i="2"/>
  <c r="AP16" i="2" s="1"/>
  <c r="E32" i="2"/>
  <c r="AQ22" i="2" s="1"/>
  <c r="E33" i="2"/>
  <c r="AO25" i="2" s="1"/>
  <c r="E34" i="2"/>
  <c r="AQ21" i="2" s="1"/>
  <c r="E35" i="2"/>
  <c r="AO24" i="2" s="1"/>
  <c r="E36" i="2"/>
  <c r="AQ20" i="2" s="1"/>
  <c r="E37" i="2"/>
  <c r="AO23" i="2" s="1"/>
  <c r="E38" i="2"/>
  <c r="AQ19" i="2" s="1"/>
  <c r="E39" i="2"/>
  <c r="AO22" i="2" s="1"/>
  <c r="E40" i="2"/>
  <c r="AQ18" i="2" s="1"/>
  <c r="E41" i="2"/>
  <c r="AO21" i="2" s="1"/>
  <c r="E42" i="2"/>
  <c r="E43" i="2"/>
  <c r="AO20" i="2" s="1"/>
  <c r="E44" i="2"/>
  <c r="AQ16" i="2" s="1"/>
  <c r="B13" i="2"/>
  <c r="AT17" i="2" s="1"/>
  <c r="B14" i="2"/>
  <c r="AU24" i="2" s="1"/>
  <c r="B15" i="2"/>
  <c r="AT16" i="2" s="1"/>
  <c r="B16" i="2"/>
  <c r="B17" i="2"/>
  <c r="AS25" i="2" s="1"/>
  <c r="B18" i="2"/>
  <c r="AU22" i="2" s="1"/>
  <c r="B19" i="2"/>
  <c r="AS24" i="2" s="1"/>
  <c r="B20" i="2"/>
  <c r="AU21" i="2" s="1"/>
  <c r="B21" i="2"/>
  <c r="AS23" i="2" s="1"/>
  <c r="B22" i="2"/>
  <c r="AU20" i="2" s="1"/>
  <c r="B23" i="2"/>
  <c r="AS22" i="2" s="1"/>
  <c r="B24" i="2"/>
  <c r="AU19" i="2"/>
  <c r="B25" i="2"/>
  <c r="AS21" i="2" s="1"/>
  <c r="B26" i="2"/>
  <c r="AU18" i="2" s="1"/>
  <c r="B27" i="2"/>
  <c r="AS20" i="2" s="1"/>
  <c r="B28" i="2"/>
  <c r="AU17" i="2" s="1"/>
  <c r="B29" i="2"/>
  <c r="AS19" i="2" s="1"/>
  <c r="B30" i="2"/>
  <c r="AT25" i="2" s="1"/>
  <c r="B31" i="2"/>
  <c r="AS18" i="2"/>
  <c r="B32" i="2"/>
  <c r="AT24" i="2" s="1"/>
  <c r="B33" i="2"/>
  <c r="AS17" i="2" s="1"/>
  <c r="B34" i="2"/>
  <c r="AT23" i="2" s="1"/>
  <c r="B35" i="2"/>
  <c r="AS16" i="2" s="1"/>
  <c r="B36" i="2"/>
  <c r="AT22" i="2" s="1"/>
  <c r="B37" i="2"/>
  <c r="AR25" i="2" s="1"/>
  <c r="B38" i="2"/>
  <c r="AT21" i="2" s="1"/>
  <c r="B39" i="2"/>
  <c r="AR24" i="2" s="1"/>
  <c r="B40" i="2"/>
  <c r="AT20" i="2" s="1"/>
  <c r="B41" i="2"/>
  <c r="AR23" i="2" s="1"/>
  <c r="B42" i="2"/>
  <c r="AT19" i="2" s="1"/>
  <c r="B43" i="2"/>
  <c r="AR22" i="2" s="1"/>
  <c r="B44" i="2"/>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AD13" i="2"/>
  <c r="AE13" i="2"/>
  <c r="AD14" i="2"/>
  <c r="AE14" i="2"/>
  <c r="AD15" i="2"/>
  <c r="AE15" i="2"/>
  <c r="L16" i="2"/>
  <c r="L17" i="2"/>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AD16" i="2"/>
  <c r="AE16" i="2"/>
  <c r="AD17" i="2"/>
  <c r="AE17" i="2"/>
  <c r="AD18" i="2"/>
  <c r="AE18" i="2"/>
  <c r="AD19" i="2"/>
  <c r="AE19" i="2"/>
  <c r="AD20" i="2"/>
  <c r="AE20" i="2"/>
  <c r="AD21" i="2"/>
  <c r="AE21" i="2"/>
  <c r="AD22" i="2"/>
  <c r="AE22" i="2"/>
  <c r="AD23" i="2"/>
  <c r="AE23" i="2"/>
  <c r="AD24" i="2"/>
  <c r="AE24" i="2"/>
  <c r="AD25" i="2"/>
  <c r="AE25" i="2"/>
  <c r="AD26" i="2"/>
  <c r="AE26" i="2"/>
  <c r="AD27" i="2"/>
  <c r="AE27" i="2"/>
  <c r="AD28" i="2"/>
  <c r="AE28" i="2"/>
  <c r="AD29" i="2"/>
  <c r="AD30" i="2"/>
  <c r="AD31" i="2"/>
  <c r="AD32" i="2"/>
  <c r="AD33" i="2"/>
  <c r="AD34" i="2"/>
  <c r="AD35" i="2"/>
  <c r="AD36" i="2"/>
  <c r="AD37" i="2"/>
  <c r="AD38" i="2"/>
  <c r="AD39" i="2"/>
  <c r="AD40" i="2"/>
  <c r="AD41" i="2"/>
  <c r="AD42" i="2"/>
  <c r="AD43" i="2"/>
  <c r="AD44" i="2"/>
  <c r="AD12" i="2"/>
  <c r="AE12" i="2"/>
  <c r="F16" i="3"/>
  <c r="F48" i="3"/>
  <c r="F49" i="3" s="1"/>
  <c r="F80" i="3"/>
  <c r="F81" i="3" s="1"/>
  <c r="L12" i="2"/>
  <c r="L13" i="2" s="1"/>
  <c r="L14" i="2" s="1"/>
  <c r="L15" i="2" s="1"/>
  <c r="G1" i="3"/>
  <c r="H1" i="3"/>
  <c r="A13" i="3"/>
  <c r="I47" i="2" l="1"/>
  <c r="AU23" i="2"/>
  <c r="I48" i="2"/>
  <c r="I49" i="2"/>
  <c r="F3" i="3"/>
  <c r="F17" i="3"/>
  <c r="G3" i="3"/>
  <c r="F82" i="3"/>
  <c r="I50" i="2"/>
  <c r="AQ17" i="2"/>
  <c r="F50" i="3"/>
  <c r="AT18" i="2"/>
  <c r="G49" i="3"/>
  <c r="G79" i="3"/>
  <c r="G15" i="3"/>
  <c r="G48" i="3"/>
  <c r="G47" i="3"/>
  <c r="G81" i="3"/>
  <c r="G16" i="3"/>
  <c r="G80" i="3"/>
  <c r="F83" i="3" l="1"/>
  <c r="F18" i="3"/>
  <c r="F51" i="3"/>
  <c r="G50" i="3"/>
  <c r="G17" i="3"/>
  <c r="G82" i="3"/>
  <c r="F52" i="3" l="1"/>
  <c r="F19" i="3"/>
  <c r="F84" i="3"/>
  <c r="G51" i="3"/>
  <c r="G18" i="3"/>
  <c r="G83" i="3"/>
  <c r="F20" i="3" l="1"/>
  <c r="F53" i="3"/>
  <c r="F85" i="3"/>
  <c r="G84" i="3"/>
  <c r="G52" i="3"/>
  <c r="G19" i="3"/>
  <c r="F86" i="3" l="1"/>
  <c r="F54" i="3"/>
  <c r="F21" i="3"/>
  <c r="G53" i="3"/>
  <c r="G20" i="3"/>
  <c r="G85" i="3"/>
  <c r="F55" i="3" l="1"/>
  <c r="F22" i="3"/>
  <c r="F87" i="3"/>
  <c r="G86" i="3"/>
  <c r="G21" i="3"/>
  <c r="G54" i="3"/>
  <c r="F88" i="3" l="1"/>
  <c r="F23" i="3"/>
  <c r="F56" i="3"/>
  <c r="G22" i="3"/>
  <c r="G87" i="3"/>
  <c r="G55" i="3"/>
  <c r="F57" i="3" l="1"/>
  <c r="F24" i="3"/>
  <c r="F89" i="3"/>
  <c r="G88" i="3"/>
  <c r="G23" i="3"/>
  <c r="G56" i="3"/>
  <c r="F90" i="3" l="1"/>
  <c r="F25" i="3"/>
  <c r="F58" i="3"/>
  <c r="G24" i="3"/>
  <c r="G89" i="3"/>
  <c r="G57" i="3"/>
  <c r="F59" i="3" l="1"/>
  <c r="F26" i="3"/>
  <c r="F91" i="3"/>
  <c r="G58" i="3"/>
  <c r="G90" i="3"/>
  <c r="G25" i="3"/>
  <c r="F92" i="3" l="1"/>
  <c r="F27" i="3"/>
  <c r="F60" i="3"/>
  <c r="G91" i="3"/>
  <c r="G26" i="3"/>
  <c r="G59" i="3"/>
  <c r="F61" i="3" l="1"/>
  <c r="F28" i="3"/>
  <c r="F93" i="3"/>
  <c r="G60" i="3"/>
  <c r="G92" i="3"/>
  <c r="G27" i="3"/>
  <c r="F94" i="3" l="1"/>
  <c r="F29" i="3"/>
  <c r="F62" i="3"/>
  <c r="G93" i="3"/>
  <c r="G61" i="3"/>
  <c r="G28" i="3"/>
  <c r="F63" i="3" l="1"/>
  <c r="F30" i="3"/>
  <c r="F95" i="3"/>
  <c r="G62" i="3"/>
  <c r="G94" i="3"/>
  <c r="G29" i="3"/>
  <c r="F31" i="3" l="1"/>
  <c r="F96" i="3"/>
  <c r="F64" i="3"/>
  <c r="G30" i="3"/>
  <c r="G63" i="3"/>
  <c r="G95" i="3"/>
  <c r="F97" i="3" l="1"/>
  <c r="F65" i="3"/>
  <c r="F32" i="3"/>
  <c r="G96" i="3"/>
  <c r="G64" i="3"/>
  <c r="G31" i="3"/>
  <c r="F33" i="3" l="1"/>
  <c r="F98" i="3"/>
  <c r="F66" i="3"/>
  <c r="G65" i="3"/>
  <c r="G97" i="3"/>
  <c r="G32" i="3"/>
  <c r="F67" i="3" l="1"/>
  <c r="F99" i="3"/>
  <c r="F34" i="3"/>
  <c r="G66" i="3"/>
  <c r="G33" i="3"/>
  <c r="G98" i="3"/>
  <c r="F35" i="3" l="1"/>
  <c r="F100" i="3"/>
  <c r="F68" i="3"/>
  <c r="G67" i="3"/>
  <c r="G99" i="3"/>
  <c r="G34" i="3"/>
  <c r="F69" i="3" l="1"/>
  <c r="F36" i="3"/>
  <c r="F101" i="3"/>
  <c r="G100" i="3"/>
  <c r="G35" i="3"/>
  <c r="G68" i="3"/>
  <c r="F102" i="3" l="1"/>
  <c r="F37" i="3"/>
  <c r="F70" i="3"/>
  <c r="G36" i="3"/>
  <c r="G101" i="3"/>
  <c r="G69" i="3"/>
  <c r="F71" i="3" l="1"/>
  <c r="F38" i="3"/>
  <c r="F103" i="3"/>
  <c r="G37" i="3"/>
  <c r="G102" i="3"/>
  <c r="G70" i="3"/>
  <c r="F104" i="3" l="1"/>
  <c r="F72" i="3"/>
  <c r="F39" i="3"/>
  <c r="G103" i="3"/>
  <c r="G71" i="3"/>
  <c r="G38" i="3"/>
  <c r="F73" i="3" l="1"/>
  <c r="F40" i="3"/>
  <c r="F105" i="3"/>
  <c r="G72" i="3"/>
  <c r="G39" i="3"/>
  <c r="G104" i="3"/>
  <c r="F41" i="3" l="1"/>
  <c r="F106" i="3"/>
  <c r="F74" i="3"/>
  <c r="G40" i="3"/>
  <c r="G105" i="3"/>
  <c r="G73" i="3"/>
  <c r="F75" i="3" l="1"/>
  <c r="F107" i="3"/>
  <c r="F42" i="3"/>
  <c r="G106" i="3"/>
  <c r="G74" i="3"/>
  <c r="G41" i="3"/>
  <c r="F43" i="3" l="1"/>
  <c r="F108" i="3"/>
  <c r="F76" i="3"/>
  <c r="G107" i="3"/>
  <c r="G42" i="3"/>
  <c r="G75" i="3"/>
  <c r="F109" i="3" l="1"/>
  <c r="F77" i="3"/>
  <c r="F44" i="3"/>
  <c r="G108" i="3"/>
  <c r="G43" i="3"/>
  <c r="G76" i="3"/>
  <c r="F78" i="3" l="1"/>
  <c r="F45" i="3"/>
  <c r="F110" i="3"/>
  <c r="G44" i="3"/>
  <c r="G110" i="3"/>
  <c r="G77" i="3"/>
  <c r="G109" i="3"/>
  <c r="G78" i="3"/>
  <c r="F46" i="3" l="1"/>
  <c r="G45" i="3"/>
  <c r="G46" i="3"/>
  <c r="I15" i="3" l="1"/>
  <c r="I126" i="3" l="1"/>
  <c r="I138" i="3"/>
  <c r="I99" i="3"/>
  <c r="I98" i="3"/>
  <c r="I127" i="3"/>
  <c r="I112" i="3"/>
  <c r="I95" i="3"/>
  <c r="I93" i="3"/>
  <c r="I43" i="3"/>
  <c r="I55" i="3"/>
  <c r="I139" i="3"/>
  <c r="I75" i="3"/>
  <c r="I79" i="3"/>
  <c r="I132" i="3"/>
  <c r="I17" i="3"/>
  <c r="I38" i="3"/>
  <c r="I129" i="3"/>
  <c r="I63" i="3"/>
  <c r="I94" i="3"/>
  <c r="I25" i="3"/>
  <c r="I52" i="3"/>
  <c r="I26" i="3"/>
  <c r="I102" i="3"/>
  <c r="I83" i="3"/>
  <c r="I48" i="3"/>
  <c r="I24" i="3"/>
  <c r="I81" i="3"/>
  <c r="I114" i="3"/>
  <c r="I45" i="3"/>
  <c r="I67" i="3"/>
  <c r="I59" i="3"/>
  <c r="I107" i="3"/>
  <c r="I49" i="3"/>
  <c r="I91" i="3"/>
  <c r="I23" i="3"/>
  <c r="I88" i="3"/>
  <c r="I80" i="3"/>
  <c r="I86" i="3"/>
  <c r="I69" i="3"/>
  <c r="I22" i="3"/>
  <c r="I121" i="3"/>
  <c r="I72" i="3"/>
  <c r="I82" i="3"/>
  <c r="I47" i="3"/>
  <c r="I111" i="3"/>
  <c r="I125" i="3"/>
  <c r="I116" i="3"/>
  <c r="I40" i="3"/>
  <c r="I19" i="3"/>
  <c r="I66" i="3"/>
  <c r="I74" i="3"/>
  <c r="I73" i="3"/>
  <c r="I35" i="3"/>
  <c r="I62" i="3"/>
  <c r="I141" i="3"/>
  <c r="I137" i="3"/>
  <c r="I36" i="3"/>
  <c r="I16" i="3"/>
  <c r="I104" i="3"/>
  <c r="I29" i="3"/>
  <c r="I50" i="3"/>
  <c r="I54" i="3"/>
  <c r="I113" i="3"/>
  <c r="I106" i="3"/>
  <c r="I77" i="3"/>
  <c r="I100" i="3"/>
  <c r="I68" i="3"/>
  <c r="I30" i="3"/>
  <c r="I119" i="3"/>
  <c r="I60" i="3"/>
  <c r="I97" i="3"/>
  <c r="I71" i="3"/>
  <c r="I101" i="3"/>
  <c r="I142" i="3"/>
  <c r="I53" i="3"/>
  <c r="I31" i="3"/>
  <c r="I133" i="3"/>
  <c r="I21" i="3"/>
  <c r="I85" i="3"/>
  <c r="I39" i="3"/>
  <c r="I28" i="3"/>
  <c r="I136" i="3"/>
  <c r="I84" i="3"/>
  <c r="I34" i="3"/>
  <c r="I41" i="3"/>
  <c r="I76" i="3"/>
  <c r="I32" i="3"/>
  <c r="I89" i="3"/>
  <c r="I122" i="3"/>
  <c r="I61" i="3"/>
  <c r="I103" i="3"/>
  <c r="I92" i="3"/>
  <c r="I64" i="3"/>
  <c r="I140" i="3"/>
  <c r="I56" i="3"/>
  <c r="I57" i="3"/>
  <c r="I65" i="3"/>
  <c r="I124" i="3"/>
  <c r="I18" i="3"/>
  <c r="I130" i="3"/>
  <c r="I96" i="3"/>
  <c r="I120" i="3"/>
  <c r="I33" i="3"/>
  <c r="I51" i="3"/>
  <c r="I123" i="3"/>
  <c r="I110" i="3"/>
  <c r="I90" i="3"/>
  <c r="I131" i="3"/>
  <c r="I115" i="3"/>
  <c r="I58" i="3"/>
  <c r="I42" i="3"/>
  <c r="I118" i="3"/>
  <c r="H15" i="3"/>
  <c r="I78" i="3"/>
  <c r="I27" i="3"/>
  <c r="I105" i="3"/>
  <c r="I44" i="3"/>
  <c r="I37" i="3"/>
  <c r="I46" i="3"/>
  <c r="I87" i="3"/>
  <c r="I109" i="3"/>
  <c r="I134" i="3"/>
  <c r="I108" i="3"/>
  <c r="I135" i="3"/>
  <c r="I128" i="3"/>
  <c r="I70" i="3"/>
  <c r="I117" i="3"/>
  <c r="I20" i="3"/>
  <c r="J15" i="3"/>
  <c r="H16" i="3"/>
  <c r="A15" i="3" l="1"/>
  <c r="C15" i="3" s="1"/>
  <c r="D15" i="3" s="1"/>
  <c r="B15" i="3"/>
  <c r="J16" i="3"/>
  <c r="K15" i="3"/>
  <c r="H17" i="3"/>
  <c r="A16" i="3" l="1"/>
  <c r="C16" i="3" s="1"/>
  <c r="D16" i="3" s="1"/>
  <c r="B16" i="3"/>
  <c r="J17" i="3"/>
  <c r="K16" i="3"/>
  <c r="H18" i="3"/>
  <c r="B17" i="3" l="1"/>
  <c r="A17" i="3"/>
  <c r="C17" i="3" s="1"/>
  <c r="D17" i="3" s="1"/>
  <c r="J18" i="3"/>
  <c r="H19" i="3"/>
  <c r="K17" i="3"/>
  <c r="B18" i="3" l="1"/>
  <c r="A18" i="3"/>
  <c r="C18" i="3" s="1"/>
  <c r="D18" i="3" s="1"/>
  <c r="J19" i="3"/>
  <c r="K18" i="3"/>
  <c r="H20" i="3"/>
  <c r="B19" i="3" l="1"/>
  <c r="A19" i="3"/>
  <c r="C19" i="3" s="1"/>
  <c r="D19" i="3" s="1"/>
  <c r="J20" i="3"/>
  <c r="K19" i="3"/>
  <c r="H21" i="3"/>
  <c r="B20" i="3" l="1"/>
  <c r="A20" i="3"/>
  <c r="C20" i="3" s="1"/>
  <c r="D20" i="3" s="1"/>
  <c r="J21" i="3"/>
  <c r="H22" i="3"/>
  <c r="K20" i="3"/>
  <c r="B21" i="3" l="1"/>
  <c r="A21" i="3"/>
  <c r="C21" i="3" s="1"/>
  <c r="D21" i="3" s="1"/>
  <c r="J22" i="3"/>
  <c r="H23" i="3"/>
  <c r="K21" i="3"/>
  <c r="B22" i="3" l="1"/>
  <c r="A22" i="3"/>
  <c r="C22" i="3" s="1"/>
  <c r="D22" i="3" s="1"/>
  <c r="J23" i="3"/>
  <c r="H24" i="3"/>
  <c r="K22" i="3"/>
  <c r="A23" i="3" l="1"/>
  <c r="C23" i="3" s="1"/>
  <c r="D23" i="3" s="1"/>
  <c r="B23" i="3"/>
  <c r="J24" i="3"/>
  <c r="K23" i="3"/>
  <c r="H25" i="3"/>
  <c r="B24" i="3" l="1"/>
  <c r="A24" i="3"/>
  <c r="C24" i="3" s="1"/>
  <c r="D24" i="3" s="1"/>
  <c r="J25" i="3"/>
  <c r="K24" i="3"/>
  <c r="H26" i="3"/>
  <c r="A25" i="3" l="1"/>
  <c r="C25" i="3" s="1"/>
  <c r="D25" i="3" s="1"/>
  <c r="B25" i="3"/>
  <c r="J26" i="3"/>
  <c r="K25" i="3"/>
  <c r="H27" i="3"/>
  <c r="B26" i="3" l="1"/>
  <c r="A26" i="3"/>
  <c r="C26" i="3" s="1"/>
  <c r="D26" i="3" s="1"/>
  <c r="J27" i="3"/>
  <c r="H28" i="3"/>
  <c r="K26" i="3"/>
  <c r="B27" i="3" l="1"/>
  <c r="A27" i="3"/>
  <c r="C27" i="3" s="1"/>
  <c r="D27" i="3" s="1"/>
  <c r="J28" i="3"/>
  <c r="H29" i="3"/>
  <c r="K27" i="3"/>
  <c r="A28" i="3" l="1"/>
  <c r="C28" i="3" s="1"/>
  <c r="D28" i="3" s="1"/>
  <c r="B28" i="3"/>
  <c r="J29" i="3"/>
  <c r="H30" i="3"/>
  <c r="K28" i="3"/>
  <c r="A29" i="3" l="1"/>
  <c r="C29" i="3" s="1"/>
  <c r="D29" i="3" s="1"/>
  <c r="B29" i="3"/>
  <c r="J30" i="3"/>
  <c r="K29" i="3"/>
  <c r="H31" i="3"/>
  <c r="B30" i="3" l="1"/>
  <c r="A30" i="3"/>
  <c r="C30" i="3" s="1"/>
  <c r="D30" i="3" s="1"/>
  <c r="J31" i="3"/>
  <c r="K30" i="3"/>
  <c r="H32" i="3"/>
  <c r="A31" i="3" l="1"/>
  <c r="C31" i="3" s="1"/>
  <c r="D31" i="3" s="1"/>
  <c r="B31" i="3"/>
  <c r="J32" i="3"/>
  <c r="H33" i="3"/>
  <c r="K31" i="3"/>
  <c r="B32" i="3" l="1"/>
  <c r="A32" i="3"/>
  <c r="C32" i="3" s="1"/>
  <c r="D32" i="3" s="1"/>
  <c r="J33" i="3"/>
  <c r="K32" i="3"/>
  <c r="H34" i="3"/>
  <c r="B33" i="3" l="1"/>
  <c r="A33" i="3"/>
  <c r="C33" i="3" s="1"/>
  <c r="D33" i="3" s="1"/>
  <c r="J34" i="3"/>
  <c r="K33" i="3"/>
  <c r="H35" i="3"/>
  <c r="B34" i="3" l="1"/>
  <c r="A34" i="3"/>
  <c r="C34" i="3" s="1"/>
  <c r="D34" i="3" s="1"/>
  <c r="J35" i="3"/>
  <c r="H36" i="3"/>
  <c r="K34" i="3"/>
  <c r="A35" i="3" l="1"/>
  <c r="C35" i="3" s="1"/>
  <c r="D35" i="3" s="1"/>
  <c r="B35" i="3"/>
  <c r="J36" i="3"/>
  <c r="H37" i="3"/>
  <c r="K35" i="3"/>
  <c r="A36" i="3" l="1"/>
  <c r="C36" i="3" s="1"/>
  <c r="D36" i="3" s="1"/>
  <c r="B36" i="3"/>
  <c r="J37" i="3"/>
  <c r="H38" i="3"/>
  <c r="K36" i="3"/>
  <c r="B37" i="3" l="1"/>
  <c r="A37" i="3"/>
  <c r="C37" i="3" s="1"/>
  <c r="D37" i="3" s="1"/>
  <c r="J38" i="3"/>
  <c r="K37" i="3"/>
  <c r="H39" i="3"/>
  <c r="B38" i="3" l="1"/>
  <c r="A38" i="3"/>
  <c r="C38" i="3" s="1"/>
  <c r="D38" i="3" s="1"/>
  <c r="J39" i="3"/>
  <c r="H40" i="3"/>
  <c r="K38" i="3"/>
  <c r="B39" i="3" l="1"/>
  <c r="A39" i="3"/>
  <c r="C39" i="3" s="1"/>
  <c r="D39" i="3" s="1"/>
  <c r="J40" i="3"/>
  <c r="K39" i="3"/>
  <c r="H41" i="3"/>
  <c r="B40" i="3" l="1"/>
  <c r="A40" i="3"/>
  <c r="C40" i="3" s="1"/>
  <c r="D40" i="3" s="1"/>
  <c r="J41" i="3"/>
  <c r="K40" i="3"/>
  <c r="H42" i="3"/>
  <c r="A41" i="3" l="1"/>
  <c r="C41" i="3" s="1"/>
  <c r="D41" i="3" s="1"/>
  <c r="B41" i="3"/>
  <c r="J42" i="3"/>
  <c r="K41" i="3"/>
  <c r="H43" i="3"/>
  <c r="B42" i="3" l="1"/>
  <c r="A42" i="3"/>
  <c r="C42" i="3" s="1"/>
  <c r="D42" i="3" s="1"/>
  <c r="J43" i="3"/>
  <c r="K42" i="3"/>
  <c r="H44" i="3"/>
  <c r="B43" i="3" l="1"/>
  <c r="A43" i="3"/>
  <c r="C43" i="3" s="1"/>
  <c r="D43" i="3" s="1"/>
  <c r="J44" i="3"/>
  <c r="H45" i="3"/>
  <c r="K43" i="3"/>
  <c r="A44" i="3" l="1"/>
  <c r="C44" i="3" s="1"/>
  <c r="D44" i="3" s="1"/>
  <c r="B44" i="3"/>
  <c r="J45" i="3"/>
  <c r="H46" i="3"/>
  <c r="K44" i="3"/>
  <c r="B45" i="3" l="1"/>
  <c r="A45" i="3"/>
  <c r="C45" i="3" s="1"/>
  <c r="D45" i="3" s="1"/>
  <c r="J46" i="3"/>
  <c r="H47" i="3"/>
  <c r="K45" i="3"/>
  <c r="B46" i="3" l="1"/>
  <c r="A46" i="3"/>
  <c r="C46" i="3" s="1"/>
  <c r="D46" i="3" s="1"/>
  <c r="J47" i="3"/>
  <c r="H48" i="3"/>
  <c r="K46" i="3"/>
  <c r="A47" i="3" l="1"/>
  <c r="C47" i="3" s="1"/>
  <c r="D47" i="3" s="1"/>
  <c r="B47" i="3"/>
  <c r="J48" i="3"/>
  <c r="H49" i="3"/>
  <c r="K47" i="3"/>
  <c r="B48" i="3" l="1"/>
  <c r="A48" i="3"/>
  <c r="C48" i="3" s="1"/>
  <c r="D48" i="3" s="1"/>
  <c r="J49" i="3"/>
  <c r="K48" i="3"/>
  <c r="H50" i="3"/>
  <c r="B49" i="3" l="1"/>
  <c r="A49" i="3"/>
  <c r="C49" i="3" s="1"/>
  <c r="D49" i="3" s="1"/>
  <c r="J50" i="3"/>
  <c r="H51" i="3"/>
  <c r="K49" i="3"/>
  <c r="B50" i="3" l="1"/>
  <c r="A50" i="3"/>
  <c r="C50" i="3" s="1"/>
  <c r="D50" i="3" s="1"/>
  <c r="J51" i="3"/>
  <c r="H52" i="3"/>
  <c r="K50" i="3"/>
  <c r="B51" i="3" l="1"/>
  <c r="A51" i="3"/>
  <c r="C51" i="3" s="1"/>
  <c r="D51" i="3" s="1"/>
  <c r="J52" i="3"/>
  <c r="H53" i="3"/>
  <c r="K51" i="3"/>
  <c r="A52" i="3" l="1"/>
  <c r="C52" i="3" s="1"/>
  <c r="D52" i="3" s="1"/>
  <c r="B52" i="3"/>
  <c r="J53" i="3"/>
  <c r="H54" i="3"/>
  <c r="K52" i="3"/>
  <c r="A53" i="3" l="1"/>
  <c r="C53" i="3" s="1"/>
  <c r="D53" i="3" s="1"/>
  <c r="B53" i="3"/>
  <c r="J54" i="3"/>
  <c r="K53" i="3"/>
  <c r="H55" i="3"/>
  <c r="B54" i="3" l="1"/>
  <c r="A54" i="3"/>
  <c r="C54" i="3" s="1"/>
  <c r="D54" i="3" s="1"/>
  <c r="J55" i="3"/>
  <c r="K54" i="3"/>
  <c r="H56" i="3"/>
  <c r="A55" i="3" l="1"/>
  <c r="C55" i="3" s="1"/>
  <c r="D55" i="3" s="1"/>
  <c r="B55" i="3"/>
  <c r="J56" i="3"/>
  <c r="K55" i="3"/>
  <c r="H57" i="3"/>
  <c r="A56" i="3" l="1"/>
  <c r="C56" i="3" s="1"/>
  <c r="D56" i="3" s="1"/>
  <c r="B56" i="3"/>
  <c r="J57" i="3"/>
  <c r="K56" i="3"/>
  <c r="H58" i="3"/>
  <c r="A57" i="3" l="1"/>
  <c r="C57" i="3" s="1"/>
  <c r="D57" i="3" s="1"/>
  <c r="B57" i="3"/>
  <c r="J58" i="3"/>
  <c r="K57" i="3"/>
  <c r="H59" i="3"/>
  <c r="A58" i="3" l="1"/>
  <c r="C58" i="3" s="1"/>
  <c r="D58" i="3" s="1"/>
  <c r="B58" i="3"/>
  <c r="J59" i="3"/>
  <c r="K58" i="3"/>
  <c r="H60" i="3"/>
  <c r="B59" i="3" l="1"/>
  <c r="A59" i="3"/>
  <c r="C59" i="3" s="1"/>
  <c r="D59" i="3" s="1"/>
  <c r="J60" i="3"/>
  <c r="K59" i="3"/>
  <c r="H61" i="3"/>
  <c r="B60" i="3" l="1"/>
  <c r="A60" i="3"/>
  <c r="C60" i="3" s="1"/>
  <c r="D60" i="3" s="1"/>
  <c r="J61" i="3"/>
  <c r="H62" i="3"/>
  <c r="K60" i="3"/>
  <c r="B61" i="3" l="1"/>
  <c r="A61" i="3"/>
  <c r="C61" i="3" s="1"/>
  <c r="D61" i="3" s="1"/>
  <c r="J62" i="3"/>
  <c r="K61" i="3"/>
  <c r="H63" i="3"/>
  <c r="B62" i="3" l="1"/>
  <c r="A62" i="3"/>
  <c r="C62" i="3" s="1"/>
  <c r="D62" i="3" s="1"/>
  <c r="J63" i="3"/>
  <c r="H64" i="3"/>
  <c r="K62" i="3"/>
  <c r="A63" i="3" l="1"/>
  <c r="C63" i="3" s="1"/>
  <c r="D63" i="3" s="1"/>
  <c r="B63" i="3"/>
  <c r="J64" i="3"/>
  <c r="H65" i="3"/>
  <c r="K63" i="3"/>
  <c r="A64" i="3" l="1"/>
  <c r="C64" i="3" s="1"/>
  <c r="D64" i="3" s="1"/>
  <c r="B64" i="3"/>
  <c r="J65" i="3"/>
  <c r="H66" i="3"/>
  <c r="K64" i="3"/>
  <c r="A65" i="3" l="1"/>
  <c r="C65" i="3" s="1"/>
  <c r="D65" i="3" s="1"/>
  <c r="B65" i="3"/>
  <c r="J66" i="3"/>
  <c r="K65" i="3"/>
  <c r="H67" i="3"/>
  <c r="B66" i="3" l="1"/>
  <c r="A66" i="3"/>
  <c r="C66" i="3" s="1"/>
  <c r="D66" i="3" s="1"/>
  <c r="J67" i="3"/>
  <c r="H68" i="3"/>
  <c r="K66" i="3"/>
  <c r="B67" i="3" l="1"/>
  <c r="A67" i="3"/>
  <c r="C67" i="3" s="1"/>
  <c r="D67" i="3" s="1"/>
  <c r="J68" i="3"/>
  <c r="H69" i="3"/>
  <c r="K67" i="3"/>
  <c r="B68" i="3" l="1"/>
  <c r="A68" i="3"/>
  <c r="C68" i="3" s="1"/>
  <c r="D68" i="3" s="1"/>
  <c r="J69" i="3"/>
  <c r="K68" i="3"/>
  <c r="H70" i="3"/>
  <c r="A69" i="3" l="1"/>
  <c r="C69" i="3" s="1"/>
  <c r="D69" i="3" s="1"/>
  <c r="B69" i="3"/>
  <c r="J70" i="3"/>
  <c r="H71" i="3"/>
  <c r="K69" i="3"/>
  <c r="B70" i="3" l="1"/>
  <c r="A70" i="3"/>
  <c r="C70" i="3" s="1"/>
  <c r="D70" i="3" s="1"/>
  <c r="J71" i="3"/>
  <c r="K70" i="3"/>
  <c r="H72" i="3"/>
  <c r="B71" i="3" l="1"/>
  <c r="A71" i="3"/>
  <c r="C71" i="3" s="1"/>
  <c r="D71" i="3" s="1"/>
  <c r="J72" i="3"/>
  <c r="K71" i="3"/>
  <c r="H73" i="3"/>
  <c r="B72" i="3" l="1"/>
  <c r="A72" i="3"/>
  <c r="C72" i="3" s="1"/>
  <c r="D72" i="3" s="1"/>
  <c r="J73" i="3"/>
  <c r="H74" i="3"/>
  <c r="K72" i="3"/>
  <c r="B73" i="3" l="1"/>
  <c r="A73" i="3"/>
  <c r="C73" i="3" s="1"/>
  <c r="D73" i="3" s="1"/>
  <c r="J74" i="3"/>
  <c r="H75" i="3"/>
  <c r="K73" i="3"/>
  <c r="A74" i="3" l="1"/>
  <c r="C74" i="3" s="1"/>
  <c r="D74" i="3" s="1"/>
  <c r="B74" i="3"/>
  <c r="J75" i="3"/>
  <c r="H76" i="3"/>
  <c r="K74" i="3"/>
  <c r="B75" i="3" l="1"/>
  <c r="A75" i="3"/>
  <c r="C75" i="3" s="1"/>
  <c r="D75" i="3" s="1"/>
  <c r="J76" i="3"/>
  <c r="H77" i="3"/>
  <c r="K75" i="3"/>
  <c r="A76" i="3" l="1"/>
  <c r="C76" i="3" s="1"/>
  <c r="D76" i="3" s="1"/>
  <c r="B76" i="3"/>
  <c r="J77" i="3"/>
  <c r="H78" i="3"/>
  <c r="K76" i="3"/>
  <c r="B77" i="3" l="1"/>
  <c r="A77" i="3"/>
  <c r="C77" i="3" s="1"/>
  <c r="D77" i="3" s="1"/>
  <c r="J78" i="3"/>
  <c r="H79" i="3"/>
  <c r="K77" i="3"/>
  <c r="A78" i="3" l="1"/>
  <c r="C78" i="3" s="1"/>
  <c r="D78" i="3" s="1"/>
  <c r="B78" i="3"/>
  <c r="J79" i="3"/>
  <c r="K78" i="3"/>
  <c r="H80" i="3"/>
  <c r="A79" i="3" l="1"/>
  <c r="C79" i="3" s="1"/>
  <c r="D79" i="3" s="1"/>
  <c r="B79" i="3"/>
  <c r="J80" i="3"/>
  <c r="H81" i="3"/>
  <c r="K79" i="3"/>
  <c r="B80" i="3" l="1"/>
  <c r="A80" i="3"/>
  <c r="C80" i="3" s="1"/>
  <c r="D80" i="3" s="1"/>
  <c r="J81" i="3"/>
  <c r="K80" i="3"/>
  <c r="H82" i="3"/>
  <c r="B81" i="3" l="1"/>
  <c r="A81" i="3"/>
  <c r="C81" i="3" s="1"/>
  <c r="D81" i="3" s="1"/>
  <c r="J82" i="3"/>
  <c r="K81" i="3"/>
  <c r="H83" i="3"/>
  <c r="A82" i="3" l="1"/>
  <c r="C82" i="3" s="1"/>
  <c r="D82" i="3" s="1"/>
  <c r="B82" i="3"/>
  <c r="J83" i="3"/>
  <c r="H84" i="3"/>
  <c r="K82" i="3"/>
  <c r="B83" i="3" l="1"/>
  <c r="A83" i="3"/>
  <c r="C83" i="3" s="1"/>
  <c r="D83" i="3" s="1"/>
  <c r="J84" i="3"/>
  <c r="K83" i="3"/>
  <c r="H85" i="3"/>
  <c r="A84" i="3" l="1"/>
  <c r="C84" i="3" s="1"/>
  <c r="D84" i="3" s="1"/>
  <c r="B84" i="3"/>
  <c r="J85" i="3"/>
  <c r="H86" i="3"/>
  <c r="K84" i="3"/>
  <c r="A85" i="3" l="1"/>
  <c r="C85" i="3" s="1"/>
  <c r="D85" i="3" s="1"/>
  <c r="B85" i="3"/>
  <c r="J86" i="3"/>
  <c r="H87" i="3"/>
  <c r="K85" i="3"/>
  <c r="A86" i="3" l="1"/>
  <c r="C86" i="3" s="1"/>
  <c r="D86" i="3" s="1"/>
  <c r="B86" i="3"/>
  <c r="J87" i="3"/>
  <c r="H88" i="3"/>
  <c r="K86" i="3"/>
  <c r="A87" i="3" l="1"/>
  <c r="C87" i="3" s="1"/>
  <c r="D87" i="3" s="1"/>
  <c r="B87" i="3"/>
  <c r="J88" i="3"/>
  <c r="H89" i="3"/>
  <c r="K87" i="3"/>
  <c r="B88" i="3" l="1"/>
  <c r="A88" i="3"/>
  <c r="C88" i="3" s="1"/>
  <c r="D88" i="3" s="1"/>
  <c r="J89" i="3"/>
  <c r="H90" i="3"/>
  <c r="K88" i="3"/>
  <c r="B89" i="3" l="1"/>
  <c r="A89" i="3"/>
  <c r="C89" i="3" s="1"/>
  <c r="D89" i="3" s="1"/>
  <c r="J90" i="3"/>
  <c r="K89" i="3"/>
  <c r="H91" i="3"/>
  <c r="B90" i="3" l="1"/>
  <c r="A90" i="3"/>
  <c r="C90" i="3" s="1"/>
  <c r="D90" i="3" s="1"/>
  <c r="J91" i="3"/>
  <c r="K90" i="3"/>
  <c r="H92" i="3"/>
  <c r="B91" i="3" l="1"/>
  <c r="A91" i="3"/>
  <c r="C91" i="3" s="1"/>
  <c r="D91" i="3" s="1"/>
  <c r="J92" i="3"/>
  <c r="K91" i="3"/>
  <c r="H93" i="3"/>
  <c r="B92" i="3" l="1"/>
  <c r="A92" i="3"/>
  <c r="C92" i="3" s="1"/>
  <c r="D92" i="3" s="1"/>
  <c r="J93" i="3"/>
  <c r="K92" i="3"/>
  <c r="H94" i="3"/>
  <c r="A93" i="3" l="1"/>
  <c r="C93" i="3" s="1"/>
  <c r="D93" i="3" s="1"/>
  <c r="B93" i="3"/>
  <c r="J94" i="3"/>
  <c r="K93" i="3"/>
  <c r="H95" i="3"/>
  <c r="A94" i="3" l="1"/>
  <c r="C94" i="3" s="1"/>
  <c r="D94" i="3" s="1"/>
  <c r="B94" i="3"/>
  <c r="J95" i="3"/>
  <c r="K94" i="3"/>
  <c r="H96" i="3"/>
  <c r="B95" i="3" l="1"/>
  <c r="A95" i="3"/>
  <c r="C95" i="3" s="1"/>
  <c r="D95" i="3" s="1"/>
  <c r="J96" i="3"/>
  <c r="H97" i="3"/>
  <c r="K95" i="3"/>
  <c r="B96" i="3" l="1"/>
  <c r="A96" i="3"/>
  <c r="C96" i="3" s="1"/>
  <c r="D96" i="3" s="1"/>
  <c r="J97" i="3"/>
  <c r="H98" i="3"/>
  <c r="K96" i="3"/>
  <c r="A97" i="3" l="1"/>
  <c r="C97" i="3" s="1"/>
  <c r="D97" i="3" s="1"/>
  <c r="B97" i="3"/>
  <c r="J98" i="3"/>
  <c r="K97" i="3"/>
  <c r="H99" i="3"/>
  <c r="A98" i="3" l="1"/>
  <c r="C98" i="3" s="1"/>
  <c r="D98" i="3" s="1"/>
  <c r="B98" i="3"/>
  <c r="J99" i="3"/>
  <c r="H100" i="3"/>
  <c r="K98" i="3"/>
  <c r="B99" i="3" l="1"/>
  <c r="A99" i="3"/>
  <c r="C99" i="3" s="1"/>
  <c r="D99" i="3" s="1"/>
  <c r="J100" i="3"/>
  <c r="K99" i="3"/>
  <c r="H101" i="3"/>
  <c r="A100" i="3" l="1"/>
  <c r="C100" i="3" s="1"/>
  <c r="D100" i="3" s="1"/>
  <c r="B100" i="3"/>
  <c r="J101" i="3"/>
  <c r="K100" i="3"/>
  <c r="H102" i="3"/>
  <c r="B101" i="3" l="1"/>
  <c r="A101" i="3"/>
  <c r="C101" i="3" s="1"/>
  <c r="D101" i="3" s="1"/>
  <c r="J102" i="3"/>
  <c r="K101" i="3"/>
  <c r="H103" i="3"/>
  <c r="B102" i="3" l="1"/>
  <c r="A102" i="3"/>
  <c r="C102" i="3" s="1"/>
  <c r="D102" i="3" s="1"/>
  <c r="J103" i="3"/>
  <c r="H104" i="3"/>
  <c r="K102" i="3"/>
  <c r="B103" i="3" l="1"/>
  <c r="A103" i="3"/>
  <c r="C103" i="3" s="1"/>
  <c r="D103" i="3" s="1"/>
  <c r="J104" i="3"/>
  <c r="K103" i="3"/>
  <c r="H105" i="3"/>
  <c r="B104" i="3" l="1"/>
  <c r="A104" i="3"/>
  <c r="C104" i="3" s="1"/>
  <c r="D104" i="3" s="1"/>
  <c r="J105" i="3"/>
  <c r="H106" i="3"/>
  <c r="K104" i="3"/>
  <c r="A105" i="3" l="1"/>
  <c r="C105" i="3" s="1"/>
  <c r="D105" i="3" s="1"/>
  <c r="B105" i="3"/>
  <c r="J106" i="3"/>
  <c r="H107" i="3"/>
  <c r="K105" i="3"/>
  <c r="B106" i="3" l="1"/>
  <c r="A106" i="3"/>
  <c r="C106" i="3" s="1"/>
  <c r="D106" i="3" s="1"/>
  <c r="J107" i="3"/>
  <c r="H108" i="3"/>
  <c r="K106" i="3"/>
  <c r="B107" i="3" l="1"/>
  <c r="A107" i="3"/>
  <c r="C107" i="3" s="1"/>
  <c r="D107" i="3" s="1"/>
  <c r="J108" i="3"/>
  <c r="K107" i="3"/>
  <c r="H109" i="3"/>
  <c r="A108" i="3" l="1"/>
  <c r="C108" i="3" s="1"/>
  <c r="D108" i="3" s="1"/>
  <c r="B108" i="3"/>
  <c r="J109" i="3"/>
  <c r="K108" i="3"/>
  <c r="H110" i="3"/>
  <c r="B109" i="3" l="1"/>
  <c r="A109" i="3"/>
  <c r="C109" i="3" s="1"/>
  <c r="D109" i="3" s="1"/>
  <c r="J110" i="3"/>
  <c r="K109" i="3"/>
  <c r="H111" i="3"/>
  <c r="A110" i="3" l="1"/>
  <c r="C110" i="3" s="1"/>
  <c r="D110" i="3" s="1"/>
  <c r="J111" i="3"/>
  <c r="H112" i="3"/>
  <c r="K111" i="3"/>
  <c r="B110" i="3"/>
  <c r="K110" i="3"/>
  <c r="H113" i="3" l="1"/>
  <c r="J112" i="3"/>
  <c r="K112" i="3"/>
  <c r="K113" i="3" l="1"/>
  <c r="J113" i="3"/>
  <c r="H114" i="3"/>
  <c r="J114" i="3" l="1"/>
  <c r="K114" i="3"/>
  <c r="H115" i="3"/>
  <c r="J115" i="3" l="1"/>
  <c r="K115" i="3"/>
  <c r="H116" i="3"/>
  <c r="J116" i="3" l="1"/>
  <c r="H117" i="3"/>
  <c r="K116" i="3"/>
  <c r="H118" i="3" l="1"/>
  <c r="J117" i="3"/>
  <c r="K117" i="3"/>
  <c r="K118" i="3" l="1"/>
  <c r="H119" i="3"/>
  <c r="J118" i="3"/>
  <c r="J119" i="3" l="1"/>
  <c r="H120" i="3"/>
  <c r="K119" i="3"/>
  <c r="K120" i="3" l="1"/>
  <c r="H121" i="3"/>
  <c r="J120" i="3"/>
  <c r="K121" i="3" l="1"/>
  <c r="H122" i="3"/>
  <c r="J121" i="3"/>
  <c r="J122" i="3" l="1"/>
  <c r="H123" i="3"/>
  <c r="K122" i="3"/>
  <c r="H124" i="3" l="1"/>
  <c r="J123" i="3"/>
  <c r="K123" i="3"/>
  <c r="K124" i="3" l="1"/>
  <c r="H125" i="3"/>
  <c r="J124" i="3"/>
  <c r="K125" i="3" l="1"/>
  <c r="H126" i="3"/>
  <c r="J125" i="3"/>
  <c r="J126" i="3" l="1"/>
  <c r="H127" i="3"/>
  <c r="K126" i="3"/>
  <c r="J127" i="3" l="1"/>
  <c r="H128" i="3"/>
  <c r="K127" i="3"/>
  <c r="K128" i="3" l="1"/>
  <c r="H129" i="3"/>
  <c r="J128" i="3"/>
  <c r="H130" i="3" l="1"/>
  <c r="K129" i="3"/>
  <c r="J129" i="3"/>
  <c r="J130" i="3" l="1"/>
  <c r="K130" i="3"/>
  <c r="H131" i="3"/>
  <c r="K131" i="3" l="1"/>
  <c r="H132" i="3"/>
  <c r="J131" i="3"/>
  <c r="K132" i="3" l="1"/>
  <c r="H133" i="3"/>
  <c r="J132" i="3"/>
  <c r="H134" i="3" l="1"/>
  <c r="K133" i="3"/>
  <c r="J133" i="3"/>
  <c r="J134" i="3" l="1"/>
  <c r="K134" i="3"/>
  <c r="H135" i="3"/>
  <c r="K135" i="3" l="1"/>
  <c r="J135" i="3"/>
  <c r="H136" i="3"/>
  <c r="K136" i="3" l="1"/>
  <c r="J136" i="3"/>
  <c r="H137" i="3"/>
  <c r="K137" i="3" l="1"/>
  <c r="J137" i="3"/>
  <c r="H138" i="3"/>
  <c r="K138" i="3" l="1"/>
  <c r="H139" i="3"/>
  <c r="J138" i="3"/>
  <c r="H140" i="3" l="1"/>
  <c r="J139" i="3"/>
  <c r="K139" i="3"/>
  <c r="K140" i="3" l="1"/>
  <c r="J140" i="3"/>
  <c r="H141" i="3"/>
  <c r="J141" i="3" l="1"/>
  <c r="K141" i="3"/>
  <c r="H142" i="3"/>
  <c r="K142" i="3" l="1"/>
  <c r="H3" i="3" s="1"/>
  <c r="J142" i="3"/>
  <c r="E108" i="3" l="1"/>
  <c r="E109" i="3"/>
  <c r="E110" i="3"/>
  <c r="E17" i="3"/>
  <c r="E16" i="3"/>
  <c r="E15"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alcChain>
</file>

<file path=xl/sharedStrings.xml><?xml version="1.0" encoding="utf-8"?>
<sst xmlns="http://schemas.openxmlformats.org/spreadsheetml/2006/main" count="367" uniqueCount="262">
  <si>
    <t>A13</t>
  </si>
  <si>
    <t>Z</t>
  </si>
  <si>
    <t>Elec.</t>
  </si>
  <si>
    <t>Avg:</t>
  </si>
  <si>
    <t>StdDev:</t>
  </si>
  <si>
    <t>Min:</t>
  </si>
  <si>
    <t>Max:</t>
  </si>
  <si>
    <t>Document Template</t>
  </si>
  <si>
    <t>CONFIDENTIAL</t>
  </si>
  <si>
    <t>60 ± 40 µm</t>
  </si>
  <si>
    <t>Accept    /    Reject    (circle one)</t>
  </si>
  <si>
    <t>Z check</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</si>
  <si>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</si>
  <si>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</si>
  <si>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</si>
  <si>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</si>
  <si>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</si>
  <si>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t>
  </si>
  <si>
    <t>// Comments begin with //</t>
  </si>
  <si>
    <t>// First non-comment line is the Mapfile description</t>
  </si>
  <si>
    <t>// Data is as follows 'c r b e l'</t>
  </si>
  <si>
    <t>Automated Impedance Testing System (When applicable)</t>
  </si>
  <si>
    <t>// Auto generated mapfile</t>
  </si>
  <si>
    <t>Electrode Array Metric</t>
  </si>
  <si>
    <t>Functional signal channels</t>
  </si>
  <si>
    <t>Exposed electrode tip</t>
  </si>
  <si>
    <t>L</t>
  </si>
  <si>
    <t>//col</t>
  </si>
  <si>
    <t>row</t>
  </si>
  <si>
    <t>bank</t>
  </si>
  <si>
    <t>label</t>
  </si>
  <si>
    <t>//   col - 0 based column from left to right</t>
  </si>
  <si>
    <t>//   row - 0 based row from bottom to top</t>
  </si>
  <si>
    <t>//   elec - 1 based electrode number within the bank - values can be 1-32</t>
  </si>
  <si>
    <t>//   label - label used to rename channels in Central (optional)</t>
  </si>
  <si>
    <t>Electrode number viewing from pad side</t>
  </si>
  <si>
    <t>Electrode impedance</t>
  </si>
  <si>
    <t>Broken Elect/Fracture Shaft</t>
  </si>
  <si>
    <t>Elec. 80-100: 92% minimum
Elec. 36-79: 89% minimum
Elec. 16-35: 88% minimum
Elec. 1-15: 100% minimum</t>
  </si>
  <si>
    <t>wire bundle</t>
  </si>
  <si>
    <t>Page 1 of 1</t>
  </si>
  <si>
    <t>Array Elec#</t>
  </si>
  <si>
    <t>chan1</t>
  </si>
  <si>
    <t>chan2</t>
  </si>
  <si>
    <t>chan3</t>
  </si>
  <si>
    <t>chan4</t>
  </si>
  <si>
    <t>chan5</t>
  </si>
  <si>
    <t>chan6</t>
  </si>
  <si>
    <t>chan7</t>
  </si>
  <si>
    <t>chan8</t>
  </si>
  <si>
    <t>chan9</t>
  </si>
  <si>
    <t>chan10</t>
  </si>
  <si>
    <t>chan11</t>
  </si>
  <si>
    <t>chan12</t>
  </si>
  <si>
    <t>chan13</t>
  </si>
  <si>
    <t>chan14</t>
  </si>
  <si>
    <t>chan15</t>
  </si>
  <si>
    <t>chan16</t>
  </si>
  <si>
    <t>chan17</t>
  </si>
  <si>
    <t>chan18</t>
  </si>
  <si>
    <t>chan19</t>
  </si>
  <si>
    <t>chan20</t>
  </si>
  <si>
    <t>chan21</t>
  </si>
  <si>
    <t>chan22</t>
  </si>
  <si>
    <t>chan23</t>
  </si>
  <si>
    <t>chan24</t>
  </si>
  <si>
    <t>chan25</t>
  </si>
  <si>
    <t>chan26</t>
  </si>
  <si>
    <t>chan27</t>
  </si>
  <si>
    <t>chan28</t>
  </si>
  <si>
    <t>chan29</t>
  </si>
  <si>
    <t>chan30</t>
  </si>
  <si>
    <t>chan31</t>
  </si>
  <si>
    <t>chan32</t>
  </si>
  <si>
    <t>chan33</t>
  </si>
  <si>
    <t>chan34</t>
  </si>
  <si>
    <t>chan35</t>
  </si>
  <si>
    <t>chan36</t>
  </si>
  <si>
    <t>chan37</t>
  </si>
  <si>
    <t>chan38</t>
  </si>
  <si>
    <t>chan39</t>
  </si>
  <si>
    <t>chan40</t>
  </si>
  <si>
    <t>chan41</t>
  </si>
  <si>
    <t>chan42</t>
  </si>
  <si>
    <t>chan43</t>
  </si>
  <si>
    <t>chan44</t>
  </si>
  <si>
    <t>chan45</t>
  </si>
  <si>
    <t>chan46</t>
  </si>
  <si>
    <t>chan47</t>
  </si>
  <si>
    <t>chan48</t>
  </si>
  <si>
    <t>chan49</t>
  </si>
  <si>
    <t>chan50</t>
  </si>
  <si>
    <t>chan51</t>
  </si>
  <si>
    <t>chan52</t>
  </si>
  <si>
    <t>chan53</t>
  </si>
  <si>
    <t>chan54</t>
  </si>
  <si>
    <t>chan55</t>
  </si>
  <si>
    <t>chan56</t>
  </si>
  <si>
    <t>chan57</t>
  </si>
  <si>
    <t>chan58</t>
  </si>
  <si>
    <t>chan59</t>
  </si>
  <si>
    <t>chan60</t>
  </si>
  <si>
    <t>chan61</t>
  </si>
  <si>
    <t>chan62</t>
  </si>
  <si>
    <t>chan63</t>
  </si>
  <si>
    <t>chan64</t>
  </si>
  <si>
    <t>chan65</t>
  </si>
  <si>
    <t>chan66</t>
  </si>
  <si>
    <t>chan67</t>
  </si>
  <si>
    <t>chan68</t>
  </si>
  <si>
    <t>chan69</t>
  </si>
  <si>
    <t>chan70</t>
  </si>
  <si>
    <t>chan71</t>
  </si>
  <si>
    <t>chan72</t>
  </si>
  <si>
    <t>chan73</t>
  </si>
  <si>
    <t>chan74</t>
  </si>
  <si>
    <t>chan75</t>
  </si>
  <si>
    <t>chan76</t>
  </si>
  <si>
    <t>chan77</t>
  </si>
  <si>
    <t>chan78</t>
  </si>
  <si>
    <t>chan79</t>
  </si>
  <si>
    <t>chan80</t>
  </si>
  <si>
    <t>chan81</t>
  </si>
  <si>
    <t>chan82</t>
  </si>
  <si>
    <t>chan83</t>
  </si>
  <si>
    <t>chan84</t>
  </si>
  <si>
    <t>chan85</t>
  </si>
  <si>
    <t>chan86</t>
  </si>
  <si>
    <t>chan87</t>
  </si>
  <si>
    <t>chan88</t>
  </si>
  <si>
    <t>chan89</t>
  </si>
  <si>
    <t>chan90</t>
  </si>
  <si>
    <t>chan91</t>
  </si>
  <si>
    <t>chan92</t>
  </si>
  <si>
    <t>chan93</t>
  </si>
  <si>
    <t>chan94</t>
  </si>
  <si>
    <t>chan95</t>
  </si>
  <si>
    <t>chan96</t>
  </si>
  <si>
    <t>Input Auto Z here</t>
  </si>
  <si>
    <t>Manual remap Z</t>
  </si>
  <si>
    <t>NSP channel #</t>
  </si>
  <si>
    <t>NSP 36pin #</t>
  </si>
  <si>
    <t>BankA Chan #</t>
  </si>
  <si>
    <t>BankC Chan #</t>
  </si>
  <si>
    <t>BankB Chan #</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</si>
  <si>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</si>
  <si>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</si>
  <si>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</si>
  <si>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</si>
  <si>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</si>
  <si>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</si>
  <si>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</si>
  <si>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</si>
  <si>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</si>
  <si>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</si>
  <si>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</si>
  <si>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</si>
  <si>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</si>
  <si>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</si>
  <si>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</si>
  <si>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</si>
  <si>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</si>
  <si>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</si>
  <si>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</si>
  <si>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</si>
  <si>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</si>
  <si>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</si>
  <si>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</si>
  <si>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</si>
  <si>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</si>
  <si>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</si>
  <si>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</si>
  <si>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</si>
  <si>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</si>
  <si>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</si>
  <si>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</si>
  <si>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</si>
  <si>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</si>
  <si>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</si>
  <si>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</si>
  <si>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</si>
  <si>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</si>
  <si>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</si>
  <si>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</si>
  <si>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</si>
  <si>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</si>
  <si>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</si>
  <si>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</si>
  <si>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</si>
  <si>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</si>
  <si>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</si>
  <si>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</si>
  <si>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</si>
  <si>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</si>
  <si>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</si>
  <si>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</si>
  <si>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</si>
  <si>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</si>
  <si>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</si>
  <si>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</si>
  <si>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</si>
  <si>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</si>
  <si>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</si>
  <si>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</si>
  <si>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</si>
  <si>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</si>
  <si>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</si>
  <si>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</si>
  <si>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</si>
  <si>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</si>
  <si>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</si>
  <si>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</si>
  <si>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</si>
  <si>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</si>
  <si>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</si>
  <si>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</si>
  <si>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</si>
  <si>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</si>
  <si>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</si>
  <si>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</si>
  <si>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</si>
  <si>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</si>
  <si>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</si>
  <si>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</si>
  <si>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</si>
  <si>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</si>
  <si>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</si>
  <si>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</si>
  <si>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</si>
  <si>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</si>
  <si>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</si>
  <si>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</si>
  <si>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</si>
  <si>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</si>
  <si>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</si>
  <si>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</si>
  <si>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</si>
  <si>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</si>
  <si>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</si>
  <si>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</si>
  <si>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</si>
  <si>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Bank</t>
  </si>
  <si>
    <t>//   bank - bank name - values can be A B C or D</t>
  </si>
  <si>
    <t>Impedance Worksheet for 32-Channels Bank Omnetics Array Assemblies</t>
  </si>
  <si>
    <t>Each Array in Omnetics assembly</t>
  </si>
  <si>
    <r>
      <t xml:space="preserve">20kOhm - 800kOhm        </t>
    </r>
    <r>
      <rPr>
        <sz val="8"/>
        <rFont val="Wingdings"/>
        <charset val="2"/>
      </rPr>
      <t>o</t>
    </r>
  </si>
  <si>
    <t>Impedance (platinum)</t>
  </si>
  <si>
    <t>Impedance (Iridium Oxide)</t>
  </si>
  <si>
    <t>5 Max, &lt;50 µm</t>
  </si>
  <si>
    <t>Doc # BLK-DT-0627</t>
  </si>
  <si>
    <t>ECO-24-017   Rev 06</t>
  </si>
  <si>
    <t xml:space="preserve">Effective Date: 03/08/2024 </t>
  </si>
  <si>
    <t>Digital Hub SN: 6973-015189</t>
  </si>
  <si>
    <t>NSP SN: 4176-0009</t>
  </si>
  <si>
    <t>CerePlex M96 SN: 10534-022950</t>
  </si>
  <si>
    <r>
      <t xml:space="preserve">1kOhm - 80kOhm        </t>
    </r>
    <r>
      <rPr>
        <sz val="8"/>
        <rFont val="Wingdings"/>
        <charset val="2"/>
      </rPr>
      <t>þ</t>
    </r>
  </si>
  <si>
    <t>Technician: Hoa Dinh</t>
  </si>
  <si>
    <t>Array size:10x10</t>
  </si>
  <si>
    <t>Array #  1147-31</t>
  </si>
  <si>
    <t>SN   7623-000080</t>
  </si>
  <si>
    <t>Date: 2/26/25</t>
  </si>
  <si>
    <t>SO- 50014987 / RMA 2824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</si>
</sst>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37">
    <font>
      <sz val="10"/>
      <name val="Arial"/>
    </font>
    <font>
      <sz val="10"/>
      <name val="Arial"/>
      <family val="2"/>
    </font>
    <font>
      <sz val="9"/>
      <name val="Arial"/>
      <family val="2"/>
    </font>
    <font>
      <sz val="8"/>
      <name val="Arial"/>
      <family val="2"/>
    </font>
    <font>
      <b/>
      <sz val="8"/>
      <name val="Arial"/>
      <family val="2"/>
    </font>
    <font>
      <b/>
      <sz val="9"/>
      <name val="Arial"/>
      <family val="2"/>
    </font>
    <font>
      <sz val="10"/>
      <name val="Times New Roman"/>
      <family val="1"/>
    </font>
    <font>
      <sz val="12"/>
      <name val="Times New Roman"/>
      <family val="1"/>
    </font>
    <font>
      <sz val="6"/>
      <name val="Times New Roman"/>
      <family val="1"/>
    </font>
    <font>
      <sz val="9"/>
      <name val="Times New Roman"/>
      <family val="1"/>
    </font>
    <font>
      <b/>
      <sz val="9"/>
      <name val="Times New Roman"/>
      <family val="1"/>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sz val="7"/>
      <name val="Times New Roman"/>
      <family val="1"/>
    </font>
    <font>
      <sz val="10"/>
      <name val="Arial"/>
      <family val="2"/>
    </font>
    <font>
      <b/>
      <i/>
      <sz val="9"/>
      <name val="Arial"/>
      <family val="2"/>
    </font>
    <font>
      <b/>
      <i/>
      <sz val="10"/>
      <name val="Arial"/>
      <family val="2"/>
    </font>
    <font>
      <sz val="8"/>
      <name val="Wingdings"/>
      <charset val="2"/>
    </font>
    <font>
      <b/>
      <sz val="9"/>
      <color rgb="FFFF0000"/>
      <name val="Arial"/>
      <family val="2"/>
    </font>
    <font>
      <b/>
      <sz val="12"/>
      <name val="Times New Roman"/>
      <family val="1"/>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rgb="FF92D050"/>
        <bgColor rgb="FF000000"/>
      </patternFill>
    </fill>
    <fill>
      <patternFill patternType="solid">
        <fgColor rgb="FF00B0F0"/>
        <bgColor rgb="FF000000"/>
      </patternFill>
    </fill>
    <fill>
      <patternFill patternType="solid">
        <fgColor rgb="FFFFFF00"/>
        <bgColor indexed="64"/>
      </patternFill>
    </fill>
    <fill>
      <patternFill patternType="solid">
        <fgColor theme="1" tint="0.499984740745262"/>
        <bgColor indexed="64"/>
      </patternFill>
    </fill>
    <fill>
      <patternFill patternType="solid">
        <fgColor theme="4" tint="0.79998168889431442"/>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s>
  <cellStyleXfs count="43">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 applyNumberFormat="0" applyAlignment="0" applyProtection="0"/>
    <xf numFmtId="0" fontId="16" fillId="21" borderId="2" applyNumberFormat="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31" fillId="0" borderId="0"/>
    <xf numFmtId="0" fontId="1" fillId="23" borderId="7" applyNumberFormat="0" applyFont="0" applyAlignment="0" applyProtection="0"/>
    <xf numFmtId="0" fontId="25" fillId="20" borderId="8" applyNumberForma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157">
    <xf numFmtId="0" fontId="0" fillId="0" borderId="0" xfId="0"/>
    <xf numFmtId="0" fontId="5" fillId="0" borderId="10" xfId="0" applyFont="1" applyBorder="1" applyAlignment="1">
      <alignment horizontal="center" vertical="center"/>
    </xf>
    <xf numFmtId="0" fontId="2" fillId="0" borderId="0" xfId="0" applyFont="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0" xfId="0" applyFont="1" applyAlignment="1">
      <alignment vertical="center"/>
    </xf>
    <xf numFmtId="0" fontId="2" fillId="0" borderId="0" xfId="0"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horizontal="center" vertical="center"/>
    </xf>
    <xf numFmtId="0" fontId="2" fillId="0" borderId="18" xfId="0" applyFont="1" applyBorder="1" applyAlignment="1">
      <alignment vertical="center"/>
    </xf>
    <xf numFmtId="0" fontId="10" fillId="0" borderId="0" xfId="0" applyFont="1" applyAlignment="1">
      <alignment wrapText="1"/>
    </xf>
    <xf numFmtId="0" fontId="9" fillId="0" borderId="0" xfId="0" applyFont="1"/>
    <xf numFmtId="0" fontId="9" fillId="0" borderId="0" xfId="0" applyFont="1" applyAlignment="1">
      <alignment vertical="center" wrapText="1"/>
    </xf>
    <xf numFmtId="0" fontId="3" fillId="0" borderId="0" xfId="0" applyFont="1"/>
    <xf numFmtId="0" fontId="30" fillId="0" borderId="0" xfId="0" applyFont="1" applyAlignment="1">
      <alignment horizontal="center" vertical="center"/>
    </xf>
    <xf numFmtId="0" fontId="11" fillId="0" borderId="0" xfId="0" applyFont="1" applyAlignment="1">
      <alignment vertical="center"/>
    </xf>
    <xf numFmtId="0" fontId="9" fillId="0" borderId="0" xfId="0" applyFont="1" applyAlignment="1">
      <alignment horizontal="left" vertical="center" wrapText="1"/>
    </xf>
    <xf numFmtId="0" fontId="10" fillId="0" borderId="0" xfId="0" applyFont="1" applyAlignment="1">
      <alignment horizontal="center" wrapText="1"/>
    </xf>
    <xf numFmtId="0" fontId="9" fillId="0" borderId="0" xfId="0" applyFont="1" applyAlignment="1">
      <alignment horizontal="left"/>
    </xf>
    <xf numFmtId="0" fontId="0" fillId="0" borderId="0" xfId="0" applyAlignment="1">
      <alignment wrapText="1"/>
    </xf>
    <xf numFmtId="0" fontId="3" fillId="0" borderId="0" xfId="0" applyFont="1" applyAlignment="1">
      <alignment horizontal="right" vertical="center"/>
    </xf>
    <xf numFmtId="164" fontId="0" fillId="0" borderId="0" xfId="0" applyNumberFormat="1"/>
    <xf numFmtId="0" fontId="31" fillId="0" borderId="0" xfId="37"/>
    <xf numFmtId="0" fontId="31" fillId="0" borderId="0" xfId="0" applyFont="1"/>
    <xf numFmtId="164" fontId="2" fillId="0" borderId="0" xfId="0" applyNumberFormat="1" applyFont="1"/>
    <xf numFmtId="0" fontId="2" fillId="24" borderId="0" xfId="0" applyFont="1" applyFill="1" applyAlignment="1">
      <alignment horizontal="center" vertical="center"/>
    </xf>
    <xf numFmtId="0" fontId="3" fillId="24" borderId="22" xfId="0" applyFont="1" applyFill="1" applyBorder="1" applyAlignment="1">
      <alignment horizontal="center" vertical="center"/>
    </xf>
    <xf numFmtId="0" fontId="0" fillId="24" borderId="0" xfId="0" applyFill="1" applyAlignment="1">
      <alignment horizontal="center" vertical="center"/>
    </xf>
    <xf numFmtId="0" fontId="3" fillId="24" borderId="0" xfId="0" applyFont="1" applyFill="1" applyAlignment="1">
      <alignment horizontal="center" vertical="center"/>
    </xf>
    <xf numFmtId="0" fontId="0" fillId="0" borderId="0" xfId="0" applyAlignment="1">
      <alignment horizontal="center" vertical="center"/>
    </xf>
    <xf numFmtId="0" fontId="2" fillId="25" borderId="0" xfId="0" applyFont="1" applyFill="1" applyAlignment="1">
      <alignment horizontal="center" vertical="center"/>
    </xf>
    <xf numFmtId="0" fontId="0" fillId="25" borderId="0" xfId="0" applyFill="1" applyAlignment="1">
      <alignment horizontal="center" vertical="center"/>
    </xf>
    <xf numFmtId="0" fontId="32" fillId="0" borderId="0" xfId="0" applyFont="1"/>
    <xf numFmtId="0" fontId="33" fillId="0" borderId="0" xfId="0" applyFont="1" applyAlignment="1">
      <alignment horizontal="left" vertical="center"/>
    </xf>
    <xf numFmtId="1" fontId="3" fillId="0" borderId="0" xfId="0" applyNumberFormat="1" applyFont="1" applyAlignment="1">
      <alignment vertical="center"/>
    </xf>
    <xf numFmtId="1" fontId="2" fillId="0" borderId="12" xfId="0" applyNumberFormat="1" applyFont="1" applyBorder="1" applyAlignment="1">
      <alignment horizontal="center" vertical="center"/>
    </xf>
    <xf numFmtId="1" fontId="2" fillId="0" borderId="11" xfId="0" applyNumberFormat="1" applyFont="1" applyBorder="1" applyAlignment="1">
      <alignment horizontal="center" vertical="center"/>
    </xf>
    <xf numFmtId="0" fontId="2" fillId="0" borderId="0" xfId="0" applyFont="1" applyAlignment="1">
      <alignment horizontal="left" vertical="center"/>
    </xf>
    <xf numFmtId="0" fontId="3" fillId="0" borderId="0" xfId="0" applyFont="1" applyAlignment="1">
      <alignment horizontal="center" vertical="center"/>
    </xf>
    <xf numFmtId="0" fontId="5" fillId="0" borderId="0" xfId="0" applyFont="1" applyAlignment="1">
      <alignment horizontal="center" vertical="center" wrapText="1"/>
    </xf>
    <xf numFmtId="0" fontId="3" fillId="26" borderId="22" xfId="0" applyFont="1" applyFill="1" applyBorder="1" applyAlignment="1">
      <alignment horizontal="center" vertical="center"/>
    </xf>
    <xf numFmtId="0" fontId="3" fillId="25" borderId="22" xfId="0" applyFont="1" applyFill="1" applyBorder="1" applyAlignment="1">
      <alignment horizontal="center" vertical="center"/>
    </xf>
    <xf numFmtId="1" fontId="3" fillId="25" borderId="22" xfId="0" applyNumberFormat="1" applyFont="1" applyFill="1" applyBorder="1" applyAlignment="1">
      <alignment horizontal="center" vertical="center"/>
    </xf>
    <xf numFmtId="0" fontId="31" fillId="0" borderId="0" xfId="0" applyFont="1" applyAlignment="1">
      <alignment horizontal="center" vertical="center"/>
    </xf>
    <xf numFmtId="1" fontId="3" fillId="0" borderId="0" xfId="0" applyNumberFormat="1" applyFont="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5" fillId="0" borderId="10" xfId="0" applyFont="1" applyBorder="1" applyAlignment="1">
      <alignment horizontal="center" vertical="center" wrapText="1"/>
    </xf>
    <xf numFmtId="0" fontId="3" fillId="0" borderId="11" xfId="0" applyFont="1" applyBorder="1"/>
    <xf numFmtId="0" fontId="3" fillId="0" borderId="13" xfId="0" applyFont="1" applyBorder="1"/>
    <xf numFmtId="0" fontId="3" fillId="0" borderId="15" xfId="0" applyFont="1" applyBorder="1"/>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3" fillId="0" borderId="11" xfId="0" applyFont="1" applyBorder="1" applyAlignment="1">
      <alignment horizontal="center" vertical="center"/>
    </xf>
    <xf numFmtId="0" fontId="3" fillId="0" borderId="13" xfId="0" applyFont="1" applyBorder="1" applyAlignment="1">
      <alignment horizontal="center" vertical="center"/>
    </xf>
    <xf numFmtId="0" fontId="3" fillId="0" borderId="15" xfId="0" applyFont="1" applyBorder="1" applyAlignment="1">
      <alignment horizontal="center" vertical="center"/>
    </xf>
    <xf numFmtId="0" fontId="3" fillId="0" borderId="31" xfId="0" applyFont="1" applyBorder="1"/>
    <xf numFmtId="0" fontId="3" fillId="0" borderId="31" xfId="0" applyFont="1" applyBorder="1" applyAlignment="1">
      <alignment horizontal="center" vertical="center"/>
    </xf>
    <xf numFmtId="0" fontId="5" fillId="27" borderId="32" xfId="0" applyFont="1" applyFill="1" applyBorder="1" applyAlignment="1">
      <alignment horizontal="center" vertical="center" wrapText="1"/>
    </xf>
    <xf numFmtId="0" fontId="4" fillId="0" borderId="10" xfId="0" applyFont="1" applyBorder="1" applyAlignment="1">
      <alignment horizontal="center" vertical="center"/>
    </xf>
    <xf numFmtId="0" fontId="5" fillId="28" borderId="10" xfId="0" applyFont="1" applyFill="1" applyBorder="1" applyAlignment="1">
      <alignment horizontal="center" vertical="center" wrapText="1"/>
    </xf>
    <xf numFmtId="0" fontId="35" fillId="0" borderId="10" xfId="0" applyFont="1" applyBorder="1" applyAlignment="1">
      <alignment horizontal="center" vertical="center" wrapText="1"/>
    </xf>
    <xf numFmtId="0" fontId="5" fillId="29" borderId="32" xfId="0" applyFont="1" applyFill="1" applyBorder="1" applyAlignment="1">
      <alignment horizontal="center" vertical="center" wrapText="1"/>
    </xf>
    <xf numFmtId="0" fontId="5" fillId="27" borderId="10" xfId="0" applyFont="1" applyFill="1" applyBorder="1" applyAlignment="1">
      <alignment horizontal="center" vertical="center" wrapText="1"/>
    </xf>
    <xf numFmtId="0" fontId="0" fillId="0" borderId="11" xfId="0" applyBorder="1" applyAlignment="1">
      <alignment horizontal="center" vertical="center"/>
    </xf>
    <xf numFmtId="0" fontId="0" fillId="0" borderId="13" xfId="0" applyBorder="1" applyAlignment="1">
      <alignment horizontal="center" vertical="center"/>
    </xf>
    <xf numFmtId="0" fontId="31" fillId="0" borderId="13" xfId="0" applyFont="1" applyBorder="1" applyAlignment="1">
      <alignment horizontal="center" vertical="center"/>
    </xf>
    <xf numFmtId="0" fontId="0" fillId="0" borderId="15" xfId="0" applyBorder="1" applyAlignment="1">
      <alignment horizontal="center" vertical="center"/>
    </xf>
    <xf numFmtId="0" fontId="2" fillId="0" borderId="20"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2" fillId="0" borderId="34" xfId="0" applyFont="1" applyBorder="1" applyAlignment="1">
      <alignment horizontal="center" vertical="center"/>
    </xf>
    <xf numFmtId="0" fontId="31" fillId="0" borderId="34" xfId="0" applyFont="1" applyBorder="1" applyAlignment="1">
      <alignment horizontal="center" vertical="center"/>
    </xf>
    <xf numFmtId="0" fontId="0" fillId="0" borderId="35" xfId="0" applyBorder="1" applyAlignment="1">
      <alignment horizontal="center" vertical="center"/>
    </xf>
    <xf numFmtId="0" fontId="2" fillId="0" borderId="36" xfId="0" applyFont="1" applyBorder="1" applyAlignment="1">
      <alignment horizontal="center" vertical="center"/>
    </xf>
    <xf numFmtId="0" fontId="2" fillId="0" borderId="35" xfId="0" applyFont="1" applyBorder="1" applyAlignment="1">
      <alignment horizontal="center" vertical="center"/>
    </xf>
    <xf numFmtId="0" fontId="0" fillId="0" borderId="18" xfId="0" applyBorder="1"/>
    <xf numFmtId="0" fontId="11" fillId="0" borderId="18" xfId="0" applyFont="1" applyBorder="1" applyAlignment="1">
      <alignment horizontal="left" vertical="center"/>
    </xf>
    <xf numFmtId="0" fontId="2" fillId="0" borderId="19" xfId="0" applyFont="1" applyBorder="1" applyAlignment="1">
      <alignment vertical="center"/>
    </xf>
    <xf numFmtId="0" fontId="36" fillId="0" borderId="0" xfId="0" applyFont="1" applyAlignment="1">
      <alignment horizontal="center" vertical="center"/>
    </xf>
    <xf numFmtId="0" fontId="11" fillId="0" borderId="0" xfId="0" applyFont="1"/>
    <xf numFmtId="0" fontId="6" fillId="0" borderId="0" xfId="0" applyFont="1" applyAlignment="1">
      <alignment horizontal="right"/>
    </xf>
    <xf numFmtId="0" fontId="6" fillId="0" borderId="37" xfId="0" applyFont="1" applyBorder="1" applyAlignment="1">
      <alignment horizontal="right"/>
    </xf>
    <xf numFmtId="0" fontId="2" fillId="0" borderId="20" xfId="0" applyFont="1" applyBorder="1" applyAlignment="1">
      <alignment vertical="center"/>
    </xf>
    <xf numFmtId="0" fontId="2" fillId="0" borderId="21" xfId="0" applyFont="1" applyBorder="1" applyAlignment="1">
      <alignment horizontal="center" vertical="center"/>
    </xf>
    <xf numFmtId="0" fontId="2" fillId="0" borderId="21" xfId="0" applyFont="1" applyBorder="1" applyAlignment="1">
      <alignment vertical="center"/>
    </xf>
    <xf numFmtId="0" fontId="11" fillId="0" borderId="0" xfId="0" applyFont="1" applyAlignment="1">
      <alignment horizontal="left"/>
    </xf>
    <xf numFmtId="0" fontId="11" fillId="0" borderId="17" xfId="0" applyFont="1" applyBorder="1" applyAlignment="1">
      <alignment horizontal="left" vertical="center"/>
    </xf>
    <xf numFmtId="0" fontId="0" fillId="0" borderId="18" xfId="0" applyBorder="1" applyAlignment="1">
      <alignment horizontal="left" vertical="center"/>
    </xf>
    <xf numFmtId="0" fontId="0" fillId="0" borderId="39" xfId="0" applyBorder="1" applyAlignment="1">
      <alignment horizontal="left" vertical="center"/>
    </xf>
    <xf numFmtId="0" fontId="11" fillId="0" borderId="19" xfId="0" applyFont="1" applyBorder="1" applyAlignment="1">
      <alignment horizontal="left" vertical="center"/>
    </xf>
    <xf numFmtId="0" fontId="0" fillId="0" borderId="0" xfId="0" applyAlignment="1">
      <alignment horizontal="left" vertical="center"/>
    </xf>
    <xf numFmtId="0" fontId="3" fillId="30" borderId="22" xfId="0" applyFont="1" applyFill="1" applyBorder="1" applyAlignment="1">
      <alignment horizontal="center" vertical="center"/>
    </xf>
    <xf numFmtId="1" fontId="3" fillId="30" borderId="22" xfId="0" applyNumberFormat="1" applyFont="1" applyFill="1" applyBorder="1" applyAlignment="1">
      <alignment horizontal="center" vertical="center"/>
    </xf>
    <xf numFmtId="1" fontId="3" fillId="31" borderId="22" xfId="0" applyNumberFormat="1" applyFont="1" applyFill="1" applyBorder="1" applyAlignment="1">
      <alignment horizontal="center" vertical="center"/>
    </xf>
    <xf numFmtId="0" fontId="6" fillId="0" borderId="18" xfId="0" applyFont="1" applyBorder="1" applyAlignment="1">
      <alignment horizontal="right"/>
    </xf>
    <xf numFmtId="0" fontId="0" fillId="0" borderId="18" xfId="0" applyBorder="1"/>
    <xf numFmtId="0" fontId="0" fillId="0" borderId="39" xfId="0" applyBorder="1"/>
    <xf numFmtId="0" fontId="6" fillId="0" borderId="0" xfId="0" applyFont="1" applyAlignment="1">
      <alignment horizontal="right"/>
    </xf>
    <xf numFmtId="0" fontId="6" fillId="0" borderId="37" xfId="0" applyFont="1" applyBorder="1" applyAlignment="1">
      <alignment horizontal="right"/>
    </xf>
    <xf numFmtId="0" fontId="6" fillId="0" borderId="21" xfId="0" applyFont="1" applyBorder="1" applyAlignment="1">
      <alignment horizontal="right"/>
    </xf>
    <xf numFmtId="0" fontId="0" fillId="0" borderId="21" xfId="0" applyBorder="1"/>
    <xf numFmtId="0" fontId="0" fillId="0" borderId="38" xfId="0" applyBorder="1"/>
    <xf numFmtId="0" fontId="11" fillId="0" borderId="28" xfId="0" applyFont="1" applyBorder="1" applyAlignment="1">
      <alignment horizontal="left" vertical="center"/>
    </xf>
    <xf numFmtId="0" fontId="0" fillId="0" borderId="24" xfId="0" applyBorder="1"/>
    <xf numFmtId="0" fontId="0" fillId="0" borderId="23" xfId="0" applyBorder="1"/>
    <xf numFmtId="0" fontId="0" fillId="0" borderId="24" xfId="0" applyBorder="1" applyAlignment="1">
      <alignment horizontal="left" vertical="center"/>
    </xf>
    <xf numFmtId="0" fontId="7" fillId="0" borderId="18" xfId="0" applyFont="1" applyBorder="1" applyAlignment="1">
      <alignment horizontal="center" vertical="center"/>
    </xf>
    <xf numFmtId="0" fontId="11" fillId="0" borderId="22" xfId="0" applyFont="1" applyBorder="1" applyAlignment="1">
      <alignment horizontal="left" vertical="center"/>
    </xf>
    <xf numFmtId="0" fontId="36" fillId="0" borderId="0" xfId="0" applyFont="1" applyAlignment="1">
      <alignment horizontal="center" vertical="center"/>
    </xf>
    <xf numFmtId="0" fontId="11" fillId="0" borderId="0" xfId="0" applyFont="1"/>
    <xf numFmtId="0" fontId="2" fillId="0" borderId="21" xfId="0" applyFont="1" applyBorder="1" applyAlignment="1">
      <alignment vertical="center"/>
    </xf>
    <xf numFmtId="0" fontId="11" fillId="0" borderId="24" xfId="0" applyFont="1" applyBorder="1" applyAlignment="1">
      <alignment horizontal="left" vertical="center"/>
    </xf>
    <xf numFmtId="0" fontId="11" fillId="0" borderId="23" xfId="0" applyFont="1" applyBorder="1" applyAlignment="1">
      <alignment horizontal="left" vertical="center"/>
    </xf>
    <xf numFmtId="0" fontId="7" fillId="0" borderId="17" xfId="0" applyFont="1" applyBorder="1" applyAlignment="1">
      <alignment horizontal="center" vertical="center"/>
    </xf>
    <xf numFmtId="0" fontId="0" fillId="0" borderId="20" xfId="0" applyBorder="1"/>
    <xf numFmtId="0" fontId="3" fillId="0" borderId="22" xfId="0" applyFont="1" applyBorder="1" applyAlignment="1">
      <alignment vertical="center"/>
    </xf>
    <xf numFmtId="0" fontId="3" fillId="0" borderId="22" xfId="0" applyFont="1" applyBorder="1"/>
    <xf numFmtId="0" fontId="8" fillId="0" borderId="17" xfId="0" applyFont="1" applyBorder="1" applyAlignment="1">
      <alignment vertical="center" wrapText="1"/>
    </xf>
    <xf numFmtId="0" fontId="8" fillId="0" borderId="18" xfId="0" applyFont="1" applyBorder="1" applyAlignment="1">
      <alignment vertical="center" wrapText="1"/>
    </xf>
    <xf numFmtId="0" fontId="0" fillId="0" borderId="18" xfId="0" applyBorder="1" applyAlignment="1">
      <alignment wrapText="1"/>
    </xf>
    <xf numFmtId="0" fontId="8" fillId="0" borderId="20" xfId="0" applyFont="1" applyBorder="1" applyAlignment="1">
      <alignment vertical="center" wrapText="1"/>
    </xf>
    <xf numFmtId="0" fontId="8" fillId="0" borderId="21" xfId="0" applyFont="1" applyBorder="1" applyAlignment="1">
      <alignment vertical="center" wrapText="1"/>
    </xf>
    <xf numFmtId="0" fontId="0" fillId="0" borderId="21" xfId="0" applyBorder="1" applyAlignment="1">
      <alignment wrapText="1"/>
    </xf>
    <xf numFmtId="0" fontId="3" fillId="0" borderId="28" xfId="0" applyFont="1" applyBorder="1" applyAlignment="1">
      <alignment vertical="center"/>
    </xf>
    <xf numFmtId="0" fontId="3" fillId="0" borderId="24" xfId="0" applyFont="1" applyBorder="1" applyAlignment="1">
      <alignment vertical="center"/>
    </xf>
    <xf numFmtId="0" fontId="3" fillId="0" borderId="23" xfId="0" applyFont="1" applyBorder="1" applyAlignment="1">
      <alignment vertical="center"/>
    </xf>
    <xf numFmtId="0" fontId="0" fillId="0" borderId="22" xfId="0" applyBorder="1" applyAlignment="1">
      <alignment vertical="center"/>
    </xf>
    <xf numFmtId="0" fontId="3" fillId="0" borderId="28" xfId="0" applyFont="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3" fillId="0" borderId="20" xfId="0" applyFont="1" applyBorder="1" applyAlignment="1">
      <alignment vertical="center" wrapText="1"/>
    </xf>
    <xf numFmtId="0" fontId="3" fillId="0" borderId="21" xfId="0" applyFont="1" applyBorder="1" applyAlignment="1">
      <alignment vertical="center" wrapText="1"/>
    </xf>
    <xf numFmtId="0" fontId="3" fillId="0" borderId="38" xfId="0" applyFont="1" applyBorder="1" applyAlignment="1">
      <alignment vertical="center" wrapText="1"/>
    </xf>
    <xf numFmtId="0" fontId="11" fillId="0" borderId="28" xfId="0" applyFont="1" applyBorder="1" applyAlignment="1">
      <alignment horizontal="center" vertical="center"/>
    </xf>
    <xf numFmtId="0" fontId="4" fillId="0" borderId="22" xfId="0" applyFont="1" applyBorder="1" applyAlignment="1">
      <alignment vertical="center"/>
    </xf>
    <xf numFmtId="0" fontId="11" fillId="0" borderId="22" xfId="0" applyFont="1" applyBorder="1" applyAlignment="1">
      <alignment vertical="center"/>
    </xf>
    <xf numFmtId="0" fontId="4" fillId="0" borderId="22" xfId="0" applyFont="1" applyBorder="1" applyAlignment="1">
      <alignment vertical="center" wrapText="1"/>
    </xf>
    <xf numFmtId="0" fontId="4" fillId="0" borderId="22" xfId="0" applyFont="1" applyBorder="1" applyAlignment="1">
      <alignment wrapText="1"/>
    </xf>
    <xf numFmtId="0" fontId="3" fillId="0" borderId="17" xfId="0" applyFont="1" applyBorder="1" applyAlignment="1">
      <alignment vertical="center" wrapText="1"/>
    </xf>
    <xf numFmtId="0" fontId="0" fillId="0" borderId="18" xfId="0" applyBorder="1" applyAlignment="1">
      <alignment vertical="center" wrapText="1"/>
    </xf>
    <xf numFmtId="0" fontId="0" fillId="0" borderId="39" xfId="0" applyBorder="1" applyAlignment="1">
      <alignment vertical="center" wrapText="1"/>
    </xf>
    <xf numFmtId="0" fontId="0" fillId="0" borderId="19" xfId="0" applyBorder="1" applyAlignment="1">
      <alignment vertical="center" wrapText="1"/>
    </xf>
    <xf numFmtId="0" fontId="0" fillId="0" borderId="0" xfId="0" applyAlignment="1">
      <alignment vertical="center" wrapText="1"/>
    </xf>
    <xf numFmtId="0" fontId="0" fillId="0" borderId="37" xfId="0" applyBorder="1" applyAlignment="1">
      <alignment vertical="center" wrapText="1"/>
    </xf>
    <xf numFmtId="0" fontId="0" fillId="0" borderId="20" xfId="0" applyBorder="1" applyAlignment="1">
      <alignment vertical="center" wrapText="1"/>
    </xf>
    <xf numFmtId="0" fontId="0" fillId="0" borderId="21" xfId="0" applyBorder="1" applyAlignment="1">
      <alignment vertical="center" wrapText="1"/>
    </xf>
    <xf numFmtId="0" fontId="0" fillId="0" borderId="38" xfId="0" applyBorder="1" applyAlignment="1">
      <alignment vertical="center" wrapText="1"/>
    </xf>
    <xf numFmtId="0" fontId="11" fillId="0" borderId="28" xfId="0" applyFont="1" applyBorder="1" applyAlignment="1">
      <alignment vertical="center"/>
    </xf>
    <xf numFmtId="0" fontId="11" fillId="0" borderId="24" xfId="0" applyFont="1" applyBorder="1" applyAlignment="1">
      <alignment vertical="center"/>
    </xf>
    <xf numFmtId="0" fontId="11" fillId="0" borderId="23" xfId="0" applyFont="1" applyBorder="1" applyAlignment="1">
      <alignment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140970</xdr:colOff>
      <xdr:row>0</xdr:row>
      <xdr:rowOff>114300</xdr:rowOff>
    </xdr:from>
    <xdr:to>
      <xdr:col>3</xdr:col>
      <xdr:colOff>377825</xdr:colOff>
      <xdr:row>2</xdr:row>
      <xdr:rowOff>111125</xdr:rowOff>
    </xdr:to>
    <xdr:pic>
      <xdr:nvPicPr>
        <xdr:cNvPr id="3" name="Picture 2">
          <a:extLst>
            <a:ext uri="{FF2B5EF4-FFF2-40B4-BE49-F238E27FC236}">
              <a16:creationId xmlns:a16="http://schemas.microsoft.com/office/drawing/2014/main" id="{199EE115-CF43-CE8F-B932-1B93B24EFE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970" y="114300"/>
          <a:ext cx="1631315" cy="377825"/>
        </a:xfrm>
        <a:prstGeom prst="rect">
          <a:avLst/>
        </a:prstGeom>
        <a:noFill/>
        <a:ln>
          <a:noFill/>
        </a:ln>
      </xdr:spPr>
    </xdr:pic>
    <xdr:clientData/>
  </xdr:twoCellAnchor>
  <xdr:twoCellAnchor>
    <xdr:from>
      <xdr:col>0</xdr:col>
      <xdr:colOff>289560</xdr:colOff>
      <xdr:row>54</xdr:row>
      <xdr:rowOff>99060</xdr:rowOff>
    </xdr:from>
    <xdr:to>
      <xdr:col>1</xdr:col>
      <xdr:colOff>601980</xdr:colOff>
      <xdr:row>56</xdr:row>
      <xdr:rowOff>91440</xdr:rowOff>
    </xdr:to>
    <xdr:sp macro="" textlink="">
      <xdr:nvSpPr>
        <xdr:cNvPr id="2" name="Oval 1">
          <a:extLst>
            <a:ext uri="{FF2B5EF4-FFF2-40B4-BE49-F238E27FC236}">
              <a16:creationId xmlns:a16="http://schemas.microsoft.com/office/drawing/2014/main" id="{E6957E35-9A49-08D8-4B5E-C8C75779CDCF}"/>
            </a:ext>
          </a:extLst>
        </xdr:cNvPr>
        <xdr:cNvSpPr/>
      </xdr:nvSpPr>
      <xdr:spPr>
        <a:xfrm>
          <a:off x="289560" y="9304020"/>
          <a:ext cx="769620" cy="29718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29"/>
  <sheetViews>
    <sheetView zoomScaleNormal="100" workbookViewId="0">
      <pane ySplit="1" topLeftCell="A2" activePane="bottomLeft" state="frozen"/>
      <selection pane="bottomLeft" activeCell="M18" sqref="M18"/>
    </sheetView>
  </sheetViews>
  <sheetFormatPr defaultColWidth="5.109375" defaultRowHeight="12.75" customHeight="1"/>
  <cols>
    <col min="1" max="1" width="5.109375" style="17"/>
    <col min="2" max="2" width="6.33203125" customWidth="1"/>
    <col min="3" max="3" width="7.44140625" customWidth="1"/>
    <col min="4" max="8" width="6.33203125" customWidth="1"/>
    <col min="9" max="9" width="6.5546875" style="17" customWidth="1"/>
    <col min="11" max="16384" width="5.109375" style="17"/>
  </cols>
  <sheetData>
    <row r="1" spans="1:9" ht="42.75" customHeight="1" thickBot="1">
      <c r="A1" s="65" t="s">
        <v>241</v>
      </c>
      <c r="B1" s="66" t="s">
        <v>141</v>
      </c>
      <c r="C1" s="52" t="s">
        <v>140</v>
      </c>
      <c r="D1" s="67" t="s">
        <v>138</v>
      </c>
      <c r="E1" s="64" t="s">
        <v>41</v>
      </c>
      <c r="F1" s="43"/>
      <c r="G1" s="23"/>
      <c r="H1" s="69" t="s">
        <v>41</v>
      </c>
      <c r="I1" s="68" t="s">
        <v>139</v>
      </c>
    </row>
    <row r="2" spans="1:9" ht="12.75" customHeight="1">
      <c r="A2" s="62" t="s">
        <v>145</v>
      </c>
      <c r="B2" s="74">
        <v>1</v>
      </c>
      <c r="C2" s="59" t="s">
        <v>42</v>
      </c>
      <c r="D2" s="3">
        <v>49</v>
      </c>
      <c r="E2" s="75">
        <v>17</v>
      </c>
      <c r="F2" s="33"/>
      <c r="H2" s="70">
        <v>1</v>
      </c>
      <c r="I2" s="63">
        <f>D3</f>
        <v>45</v>
      </c>
    </row>
    <row r="3" spans="1:9" ht="12.75" customHeight="1">
      <c r="A3" s="54" t="s">
        <v>146</v>
      </c>
      <c r="B3" s="56">
        <v>2</v>
      </c>
      <c r="C3" s="60" t="s">
        <v>43</v>
      </c>
      <c r="D3" s="5">
        <v>45</v>
      </c>
      <c r="E3" s="76">
        <v>1</v>
      </c>
      <c r="F3" s="33"/>
      <c r="H3" s="71">
        <v>2</v>
      </c>
      <c r="I3" s="60">
        <f>D5</f>
        <v>42</v>
      </c>
    </row>
    <row r="4" spans="1:9" ht="12.75" customHeight="1">
      <c r="A4" s="54" t="s">
        <v>147</v>
      </c>
      <c r="B4" s="56">
        <v>3</v>
      </c>
      <c r="C4" s="60" t="s">
        <v>44</v>
      </c>
      <c r="D4" s="5">
        <v>36</v>
      </c>
      <c r="E4" s="77">
        <v>18</v>
      </c>
      <c r="F4" s="10"/>
      <c r="H4" s="5">
        <v>3</v>
      </c>
      <c r="I4" s="60">
        <f>D7</f>
        <v>30</v>
      </c>
    </row>
    <row r="5" spans="1:9" ht="12.75" customHeight="1">
      <c r="A5" s="54" t="s">
        <v>148</v>
      </c>
      <c r="B5" s="56">
        <v>4</v>
      </c>
      <c r="C5" s="60" t="s">
        <v>45</v>
      </c>
      <c r="D5" s="5">
        <v>42</v>
      </c>
      <c r="E5" s="76">
        <v>2</v>
      </c>
      <c r="F5" s="33"/>
      <c r="H5" s="71">
        <v>4</v>
      </c>
      <c r="I5" s="60">
        <f>D9</f>
        <v>42</v>
      </c>
    </row>
    <row r="6" spans="1:9" ht="12.75" customHeight="1">
      <c r="A6" s="54" t="s">
        <v>149</v>
      </c>
      <c r="B6" s="56">
        <v>5</v>
      </c>
      <c r="C6" s="60" t="s">
        <v>46</v>
      </c>
      <c r="D6" s="5">
        <v>49</v>
      </c>
      <c r="E6" s="76">
        <v>19</v>
      </c>
      <c r="F6" s="33"/>
      <c r="H6" s="71">
        <v>5</v>
      </c>
      <c r="I6" s="60">
        <f>D11</f>
        <v>48</v>
      </c>
    </row>
    <row r="7" spans="1:9" ht="12.75" customHeight="1">
      <c r="A7" s="54" t="s">
        <v>150</v>
      </c>
      <c r="B7" s="56">
        <v>6</v>
      </c>
      <c r="C7" s="60" t="s">
        <v>47</v>
      </c>
      <c r="D7" s="5">
        <v>30</v>
      </c>
      <c r="E7" s="77">
        <v>3</v>
      </c>
      <c r="F7" s="10"/>
      <c r="H7" s="5">
        <v>6</v>
      </c>
      <c r="I7" s="60">
        <f>D13</f>
        <v>48</v>
      </c>
    </row>
    <row r="8" spans="1:9" ht="12.75" customHeight="1">
      <c r="A8" s="54" t="s">
        <v>151</v>
      </c>
      <c r="B8" s="56">
        <v>7</v>
      </c>
      <c r="C8" s="60" t="s">
        <v>48</v>
      </c>
      <c r="D8" s="5">
        <v>49</v>
      </c>
      <c r="E8" s="76">
        <v>20</v>
      </c>
      <c r="F8" s="33"/>
      <c r="H8" s="71">
        <v>7</v>
      </c>
      <c r="I8" s="60">
        <f>D15</f>
        <v>33</v>
      </c>
    </row>
    <row r="9" spans="1:9" ht="12.75" customHeight="1">
      <c r="A9" s="54" t="s">
        <v>152</v>
      </c>
      <c r="B9" s="56">
        <v>8</v>
      </c>
      <c r="C9" s="60" t="s">
        <v>49</v>
      </c>
      <c r="D9" s="5">
        <v>42</v>
      </c>
      <c r="E9" s="76">
        <v>4</v>
      </c>
      <c r="F9" s="33"/>
      <c r="H9" s="71">
        <v>8</v>
      </c>
      <c r="I9" s="60">
        <f>D17</f>
        <v>47</v>
      </c>
    </row>
    <row r="10" spans="1:9" ht="12.75" customHeight="1">
      <c r="A10" s="54" t="s">
        <v>153</v>
      </c>
      <c r="B10" s="56">
        <v>9</v>
      </c>
      <c r="C10" s="60" t="s">
        <v>50</v>
      </c>
      <c r="D10" s="5">
        <v>48</v>
      </c>
      <c r="E10" s="77">
        <v>21</v>
      </c>
      <c r="F10" s="10"/>
      <c r="H10" s="72">
        <v>9</v>
      </c>
      <c r="I10" s="60">
        <f>D19</f>
        <v>49</v>
      </c>
    </row>
    <row r="11" spans="1:9" ht="12.75" customHeight="1">
      <c r="A11" s="54" t="s">
        <v>154</v>
      </c>
      <c r="B11" s="56">
        <v>10</v>
      </c>
      <c r="C11" s="60" t="s">
        <v>51</v>
      </c>
      <c r="D11" s="5">
        <v>48</v>
      </c>
      <c r="E11" s="76">
        <v>5</v>
      </c>
      <c r="F11" s="33"/>
      <c r="H11" s="71">
        <v>10</v>
      </c>
      <c r="I11" s="60">
        <f>D21</f>
        <v>39</v>
      </c>
    </row>
    <row r="12" spans="1:9" ht="12.75" customHeight="1">
      <c r="A12" s="54" t="s">
        <v>155</v>
      </c>
      <c r="B12" s="56">
        <v>11</v>
      </c>
      <c r="C12" s="60" t="s">
        <v>52</v>
      </c>
      <c r="D12" s="5">
        <v>42</v>
      </c>
      <c r="E12" s="76">
        <v>22</v>
      </c>
      <c r="F12" s="33"/>
      <c r="H12" s="71">
        <v>11</v>
      </c>
      <c r="I12" s="60">
        <f>D23</f>
        <v>45</v>
      </c>
    </row>
    <row r="13" spans="1:9" ht="12.75" customHeight="1">
      <c r="A13" s="54" t="s">
        <v>156</v>
      </c>
      <c r="B13" s="56">
        <v>12</v>
      </c>
      <c r="C13" s="60" t="s">
        <v>53</v>
      </c>
      <c r="D13" s="5">
        <v>48</v>
      </c>
      <c r="E13" s="77">
        <v>6</v>
      </c>
      <c r="F13" s="10"/>
      <c r="H13" s="71">
        <v>12</v>
      </c>
      <c r="I13" s="60">
        <f>D25</f>
        <v>34</v>
      </c>
    </row>
    <row r="14" spans="1:9" ht="12.75" customHeight="1">
      <c r="A14" s="54" t="s">
        <v>157</v>
      </c>
      <c r="B14" s="56">
        <v>13</v>
      </c>
      <c r="C14" s="60" t="s">
        <v>54</v>
      </c>
      <c r="D14" s="5">
        <v>46</v>
      </c>
      <c r="E14" s="76">
        <v>23</v>
      </c>
      <c r="F14" s="33"/>
      <c r="H14" s="71">
        <v>13</v>
      </c>
      <c r="I14" s="60">
        <f>D27</f>
        <v>35</v>
      </c>
    </row>
    <row r="15" spans="1:9" ht="12.75" customHeight="1">
      <c r="A15" s="54" t="s">
        <v>158</v>
      </c>
      <c r="B15" s="56">
        <v>14</v>
      </c>
      <c r="C15" s="60" t="s">
        <v>55</v>
      </c>
      <c r="D15" s="5">
        <v>33</v>
      </c>
      <c r="E15" s="76">
        <v>7</v>
      </c>
      <c r="F15" s="33"/>
      <c r="H15" s="71">
        <v>14</v>
      </c>
      <c r="I15" s="60">
        <f>D29</f>
        <v>32</v>
      </c>
    </row>
    <row r="16" spans="1:9" ht="12.75" customHeight="1">
      <c r="A16" s="54" t="s">
        <v>159</v>
      </c>
      <c r="B16" s="56">
        <v>15</v>
      </c>
      <c r="C16" s="60" t="s">
        <v>56</v>
      </c>
      <c r="D16" s="5">
        <v>35</v>
      </c>
      <c r="E16" s="77">
        <v>24</v>
      </c>
      <c r="F16" s="10"/>
      <c r="H16" s="71">
        <v>15</v>
      </c>
      <c r="I16" s="60">
        <f>D31</f>
        <v>38</v>
      </c>
    </row>
    <row r="17" spans="1:9" ht="12.75" customHeight="1">
      <c r="A17" s="54" t="s">
        <v>160</v>
      </c>
      <c r="B17" s="56">
        <v>16</v>
      </c>
      <c r="C17" s="60" t="s">
        <v>57</v>
      </c>
      <c r="D17" s="5">
        <v>47</v>
      </c>
      <c r="E17" s="76">
        <v>8</v>
      </c>
      <c r="F17" s="33"/>
      <c r="H17" s="71">
        <v>16</v>
      </c>
      <c r="I17" s="60">
        <f>D33</f>
        <v>44</v>
      </c>
    </row>
    <row r="18" spans="1:9" ht="12.75" customHeight="1">
      <c r="A18" s="54" t="s">
        <v>161</v>
      </c>
      <c r="B18" s="56">
        <v>17</v>
      </c>
      <c r="C18" s="60" t="s">
        <v>58</v>
      </c>
      <c r="D18" s="5">
        <v>46</v>
      </c>
      <c r="E18" s="76">
        <v>25</v>
      </c>
      <c r="F18" s="33"/>
      <c r="H18" s="71">
        <v>17</v>
      </c>
      <c r="I18" s="60">
        <f>D2</f>
        <v>49</v>
      </c>
    </row>
    <row r="19" spans="1:9" ht="12.75" customHeight="1">
      <c r="A19" s="54" t="s">
        <v>162</v>
      </c>
      <c r="B19" s="56">
        <v>18</v>
      </c>
      <c r="C19" s="60" t="s">
        <v>59</v>
      </c>
      <c r="D19" s="5">
        <v>49</v>
      </c>
      <c r="E19" s="78">
        <v>9</v>
      </c>
      <c r="F19" s="47"/>
      <c r="H19" s="5">
        <v>18</v>
      </c>
      <c r="I19" s="60">
        <f>D4</f>
        <v>36</v>
      </c>
    </row>
    <row r="20" spans="1:9" ht="12.75" customHeight="1">
      <c r="A20" s="54" t="s">
        <v>163</v>
      </c>
      <c r="B20" s="56">
        <v>19</v>
      </c>
      <c r="C20" s="60" t="s">
        <v>60</v>
      </c>
      <c r="D20" s="5">
        <v>44</v>
      </c>
      <c r="E20" s="77">
        <v>26</v>
      </c>
      <c r="F20" s="10"/>
      <c r="H20" s="71">
        <v>19</v>
      </c>
      <c r="I20" s="60">
        <f>D6</f>
        <v>49</v>
      </c>
    </row>
    <row r="21" spans="1:9" ht="12.75" customHeight="1">
      <c r="A21" s="54" t="s">
        <v>164</v>
      </c>
      <c r="B21" s="56">
        <v>20</v>
      </c>
      <c r="C21" s="60" t="s">
        <v>61</v>
      </c>
      <c r="D21" s="5">
        <v>39</v>
      </c>
      <c r="E21" s="76">
        <v>10</v>
      </c>
      <c r="F21" s="33"/>
      <c r="H21" s="71">
        <v>20</v>
      </c>
      <c r="I21" s="60">
        <f>D8</f>
        <v>49</v>
      </c>
    </row>
    <row r="22" spans="1:9" ht="12.75" customHeight="1">
      <c r="A22" s="54" t="s">
        <v>165</v>
      </c>
      <c r="B22" s="56">
        <v>21</v>
      </c>
      <c r="C22" s="60" t="s">
        <v>62</v>
      </c>
      <c r="D22" s="5">
        <v>43</v>
      </c>
      <c r="E22" s="76">
        <v>27</v>
      </c>
      <c r="F22" s="33"/>
      <c r="H22" s="5">
        <v>21</v>
      </c>
      <c r="I22" s="60">
        <f>D10</f>
        <v>48</v>
      </c>
    </row>
    <row r="23" spans="1:9" ht="12.75" customHeight="1">
      <c r="A23" s="54" t="s">
        <v>166</v>
      </c>
      <c r="B23" s="56">
        <v>22</v>
      </c>
      <c r="C23" s="60" t="s">
        <v>63</v>
      </c>
      <c r="D23" s="5">
        <v>45</v>
      </c>
      <c r="E23" s="76">
        <v>11</v>
      </c>
      <c r="F23" s="33"/>
      <c r="H23" s="71">
        <v>22</v>
      </c>
      <c r="I23" s="60">
        <f>D12</f>
        <v>42</v>
      </c>
    </row>
    <row r="24" spans="1:9" ht="12.75" customHeight="1">
      <c r="A24" s="54" t="s">
        <v>167</v>
      </c>
      <c r="B24" s="56">
        <v>23</v>
      </c>
      <c r="C24" s="60" t="s">
        <v>64</v>
      </c>
      <c r="D24" s="5">
        <v>49</v>
      </c>
      <c r="E24" s="76">
        <v>28</v>
      </c>
      <c r="F24" s="33"/>
      <c r="H24" s="71">
        <v>23</v>
      </c>
      <c r="I24" s="60">
        <f>D14</f>
        <v>46</v>
      </c>
    </row>
    <row r="25" spans="1:9" ht="12.75" customHeight="1">
      <c r="A25" s="54" t="s">
        <v>168</v>
      </c>
      <c r="B25" s="56">
        <v>24</v>
      </c>
      <c r="C25" s="60" t="s">
        <v>65</v>
      </c>
      <c r="D25" s="5">
        <v>34</v>
      </c>
      <c r="E25" s="76">
        <v>12</v>
      </c>
      <c r="F25" s="33"/>
      <c r="H25" s="5">
        <v>24</v>
      </c>
      <c r="I25" s="60">
        <f>D16</f>
        <v>35</v>
      </c>
    </row>
    <row r="26" spans="1:9" ht="12.75" customHeight="1">
      <c r="A26" s="54" t="s">
        <v>169</v>
      </c>
      <c r="B26" s="56">
        <v>25</v>
      </c>
      <c r="C26" s="60" t="s">
        <v>66</v>
      </c>
      <c r="D26" s="5">
        <v>47</v>
      </c>
      <c r="E26" s="76">
        <v>29</v>
      </c>
      <c r="F26" s="33"/>
      <c r="H26" s="71">
        <v>25</v>
      </c>
      <c r="I26" s="60">
        <f>D18</f>
        <v>46</v>
      </c>
    </row>
    <row r="27" spans="1:9" ht="12.75" customHeight="1">
      <c r="A27" s="54" t="s">
        <v>170</v>
      </c>
      <c r="B27" s="56">
        <v>26</v>
      </c>
      <c r="C27" s="60" t="s">
        <v>67</v>
      </c>
      <c r="D27" s="5">
        <v>35</v>
      </c>
      <c r="E27" s="76">
        <v>13</v>
      </c>
      <c r="F27" s="33"/>
      <c r="H27" s="5">
        <v>26</v>
      </c>
      <c r="I27" s="60">
        <f>D20</f>
        <v>44</v>
      </c>
    </row>
    <row r="28" spans="1:9" ht="12.75" customHeight="1">
      <c r="A28" s="54" t="s">
        <v>171</v>
      </c>
      <c r="B28" s="56">
        <v>27</v>
      </c>
      <c r="C28" s="60" t="s">
        <v>68</v>
      </c>
      <c r="D28" s="5">
        <v>45</v>
      </c>
      <c r="E28" s="76">
        <v>30</v>
      </c>
      <c r="F28" s="33"/>
      <c r="H28" s="71">
        <v>27</v>
      </c>
      <c r="I28" s="60">
        <f>D22</f>
        <v>43</v>
      </c>
    </row>
    <row r="29" spans="1:9" ht="12.75" customHeight="1">
      <c r="A29" s="54" t="s">
        <v>172</v>
      </c>
      <c r="B29" s="56">
        <v>28</v>
      </c>
      <c r="C29" s="60" t="s">
        <v>69</v>
      </c>
      <c r="D29" s="5">
        <v>32</v>
      </c>
      <c r="E29" s="76">
        <v>14</v>
      </c>
      <c r="F29" s="33"/>
      <c r="H29" s="71">
        <v>28</v>
      </c>
      <c r="I29" s="60">
        <f>D24</f>
        <v>49</v>
      </c>
    </row>
    <row r="30" spans="1:9" ht="12.75" customHeight="1">
      <c r="A30" s="54" t="s">
        <v>173</v>
      </c>
      <c r="B30" s="56">
        <v>29</v>
      </c>
      <c r="C30" s="60" t="s">
        <v>70</v>
      </c>
      <c r="D30" s="5">
        <v>46</v>
      </c>
      <c r="E30" s="76">
        <v>31</v>
      </c>
      <c r="F30" s="33"/>
      <c r="H30" s="71">
        <v>29</v>
      </c>
      <c r="I30" s="60">
        <f>D26</f>
        <v>47</v>
      </c>
    </row>
    <row r="31" spans="1:9" ht="12.75" customHeight="1">
      <c r="A31" s="54" t="s">
        <v>174</v>
      </c>
      <c r="B31" s="56">
        <v>30</v>
      </c>
      <c r="C31" s="60" t="s">
        <v>71</v>
      </c>
      <c r="D31" s="5">
        <v>38</v>
      </c>
      <c r="E31" s="76">
        <v>15</v>
      </c>
      <c r="F31" s="33"/>
      <c r="H31" s="71">
        <v>30</v>
      </c>
      <c r="I31" s="60">
        <f>D28</f>
        <v>45</v>
      </c>
    </row>
    <row r="32" spans="1:9" ht="12.75" customHeight="1">
      <c r="A32" s="54" t="s">
        <v>175</v>
      </c>
      <c r="B32" s="56">
        <v>31</v>
      </c>
      <c r="C32" s="60" t="s">
        <v>72</v>
      </c>
      <c r="D32" s="5">
        <v>34</v>
      </c>
      <c r="E32" s="76">
        <v>32</v>
      </c>
      <c r="F32" s="33"/>
      <c r="H32" s="71">
        <v>31</v>
      </c>
      <c r="I32" s="60">
        <f>D30</f>
        <v>46</v>
      </c>
    </row>
    <row r="33" spans="1:9" ht="12.75" customHeight="1" thickBot="1">
      <c r="A33" s="55" t="s">
        <v>176</v>
      </c>
      <c r="B33" s="58">
        <v>32</v>
      </c>
      <c r="C33" s="61" t="s">
        <v>73</v>
      </c>
      <c r="D33" s="7">
        <v>44</v>
      </c>
      <c r="E33" s="79">
        <v>16</v>
      </c>
      <c r="F33" s="33"/>
      <c r="H33" s="73">
        <v>32</v>
      </c>
      <c r="I33" s="61">
        <f>D32</f>
        <v>34</v>
      </c>
    </row>
    <row r="34" spans="1:9" ht="12.75" customHeight="1">
      <c r="A34" s="53" t="s">
        <v>177</v>
      </c>
      <c r="B34" s="57">
        <v>33</v>
      </c>
      <c r="C34" s="59" t="s">
        <v>74</v>
      </c>
      <c r="D34" s="3">
        <v>46</v>
      </c>
      <c r="E34" s="80">
        <v>49</v>
      </c>
      <c r="F34" s="10"/>
      <c r="H34" s="3">
        <v>33</v>
      </c>
      <c r="I34" s="59">
        <f>D35</f>
        <v>46</v>
      </c>
    </row>
    <row r="35" spans="1:9" ht="12.75" customHeight="1">
      <c r="A35" s="54" t="s">
        <v>178</v>
      </c>
      <c r="B35" s="56">
        <v>34</v>
      </c>
      <c r="C35" s="60" t="s">
        <v>75</v>
      </c>
      <c r="D35" s="5">
        <v>46</v>
      </c>
      <c r="E35" s="77">
        <v>33</v>
      </c>
      <c r="F35" s="10"/>
      <c r="H35" s="5">
        <v>34</v>
      </c>
      <c r="I35" s="60">
        <f>D37</f>
        <v>33</v>
      </c>
    </row>
    <row r="36" spans="1:9" ht="12.75" customHeight="1">
      <c r="A36" s="54" t="s">
        <v>179</v>
      </c>
      <c r="B36" s="56">
        <v>35</v>
      </c>
      <c r="C36" s="60" t="s">
        <v>76</v>
      </c>
      <c r="D36" s="5">
        <v>47</v>
      </c>
      <c r="E36" s="77">
        <v>50</v>
      </c>
      <c r="F36" s="10"/>
      <c r="H36" s="5">
        <v>35</v>
      </c>
      <c r="I36" s="60">
        <f>D39</f>
        <v>50</v>
      </c>
    </row>
    <row r="37" spans="1:9" ht="12.75" customHeight="1">
      <c r="A37" s="54" t="s">
        <v>180</v>
      </c>
      <c r="B37" s="56">
        <v>36</v>
      </c>
      <c r="C37" s="60" t="s">
        <v>77</v>
      </c>
      <c r="D37" s="5">
        <v>33</v>
      </c>
      <c r="E37" s="77">
        <v>34</v>
      </c>
      <c r="F37" s="10"/>
      <c r="H37" s="5">
        <v>36</v>
      </c>
      <c r="I37" s="60">
        <f>D41</f>
        <v>34</v>
      </c>
    </row>
    <row r="38" spans="1:9" ht="12.75" customHeight="1">
      <c r="A38" s="54" t="s">
        <v>181</v>
      </c>
      <c r="B38" s="56">
        <v>37</v>
      </c>
      <c r="C38" s="60" t="s">
        <v>78</v>
      </c>
      <c r="D38" s="5">
        <v>36</v>
      </c>
      <c r="E38" s="77">
        <v>51</v>
      </c>
      <c r="F38" s="10"/>
      <c r="H38" s="5">
        <v>37</v>
      </c>
      <c r="I38" s="60">
        <f>D43</f>
        <v>48</v>
      </c>
    </row>
    <row r="39" spans="1:9" ht="12.75" customHeight="1">
      <c r="A39" s="54" t="s">
        <v>182</v>
      </c>
      <c r="B39" s="56">
        <v>38</v>
      </c>
      <c r="C39" s="60" t="s">
        <v>79</v>
      </c>
      <c r="D39" s="5">
        <v>50</v>
      </c>
      <c r="E39" s="77">
        <v>35</v>
      </c>
      <c r="F39" s="10"/>
      <c r="H39" s="5">
        <v>38</v>
      </c>
      <c r="I39" s="60">
        <f>D45</f>
        <v>43</v>
      </c>
    </row>
    <row r="40" spans="1:9" ht="12.75" customHeight="1">
      <c r="A40" s="54" t="s">
        <v>183</v>
      </c>
      <c r="B40" s="56">
        <v>39</v>
      </c>
      <c r="C40" s="60" t="s">
        <v>80</v>
      </c>
      <c r="D40" s="5">
        <v>50</v>
      </c>
      <c r="E40" s="77">
        <v>52</v>
      </c>
      <c r="F40" s="10"/>
      <c r="H40" s="5">
        <v>39</v>
      </c>
      <c r="I40" s="60">
        <f>D47</f>
        <v>40</v>
      </c>
    </row>
    <row r="41" spans="1:9" ht="12.75" customHeight="1">
      <c r="A41" s="54" t="s">
        <v>184</v>
      </c>
      <c r="B41" s="56">
        <v>40</v>
      </c>
      <c r="C41" s="60" t="s">
        <v>81</v>
      </c>
      <c r="D41" s="5">
        <v>34</v>
      </c>
      <c r="E41" s="77">
        <v>36</v>
      </c>
      <c r="F41" s="10"/>
      <c r="H41" s="5">
        <v>40</v>
      </c>
      <c r="I41" s="60">
        <f>D49</f>
        <v>48</v>
      </c>
    </row>
    <row r="42" spans="1:9" ht="12.75" customHeight="1">
      <c r="A42" s="54" t="s">
        <v>185</v>
      </c>
      <c r="B42" s="56">
        <v>41</v>
      </c>
      <c r="C42" s="60" t="s">
        <v>82</v>
      </c>
      <c r="D42" s="5">
        <v>46</v>
      </c>
      <c r="E42" s="77">
        <v>53</v>
      </c>
      <c r="F42" s="10"/>
      <c r="H42" s="5">
        <v>41</v>
      </c>
      <c r="I42" s="60">
        <f>D51</f>
        <v>32</v>
      </c>
    </row>
    <row r="43" spans="1:9" ht="12.75" customHeight="1">
      <c r="A43" s="54" t="s">
        <v>186</v>
      </c>
      <c r="B43" s="56">
        <v>42</v>
      </c>
      <c r="C43" s="60" t="s">
        <v>83</v>
      </c>
      <c r="D43" s="5">
        <v>48</v>
      </c>
      <c r="E43" s="77">
        <v>37</v>
      </c>
      <c r="F43" s="10"/>
      <c r="H43" s="5">
        <v>42</v>
      </c>
      <c r="I43" s="60">
        <f>D53</f>
        <v>38</v>
      </c>
    </row>
    <row r="44" spans="1:9" ht="12.75" customHeight="1">
      <c r="A44" s="54" t="s">
        <v>187</v>
      </c>
      <c r="B44" s="56">
        <v>43</v>
      </c>
      <c r="C44" s="60" t="s">
        <v>84</v>
      </c>
      <c r="D44" s="5">
        <v>40</v>
      </c>
      <c r="E44" s="77">
        <v>54</v>
      </c>
      <c r="F44" s="10"/>
      <c r="H44" s="5">
        <v>43</v>
      </c>
      <c r="I44" s="60">
        <f>D55</f>
        <v>47</v>
      </c>
    </row>
    <row r="45" spans="1:9" ht="12.75" customHeight="1">
      <c r="A45" s="54" t="s">
        <v>188</v>
      </c>
      <c r="B45" s="56">
        <v>44</v>
      </c>
      <c r="C45" s="60" t="s">
        <v>85</v>
      </c>
      <c r="D45" s="5">
        <v>43</v>
      </c>
      <c r="E45" s="77">
        <v>38</v>
      </c>
      <c r="F45" s="10"/>
      <c r="H45" s="5">
        <v>44</v>
      </c>
      <c r="I45" s="60">
        <f>D57</f>
        <v>40</v>
      </c>
    </row>
    <row r="46" spans="1:9" ht="12.75" customHeight="1">
      <c r="A46" s="54" t="s">
        <v>189</v>
      </c>
      <c r="B46" s="56">
        <v>45</v>
      </c>
      <c r="C46" s="60" t="s">
        <v>86</v>
      </c>
      <c r="D46" s="5">
        <v>46</v>
      </c>
      <c r="E46" s="77">
        <v>55</v>
      </c>
      <c r="F46" s="10"/>
      <c r="H46" s="5">
        <v>45</v>
      </c>
      <c r="I46" s="60">
        <f>D59</f>
        <v>38</v>
      </c>
    </row>
    <row r="47" spans="1:9" ht="12.75" customHeight="1">
      <c r="A47" s="54" t="s">
        <v>190</v>
      </c>
      <c r="B47" s="56">
        <v>46</v>
      </c>
      <c r="C47" s="60" t="s">
        <v>87</v>
      </c>
      <c r="D47" s="5">
        <v>40</v>
      </c>
      <c r="E47" s="77">
        <v>39</v>
      </c>
      <c r="F47" s="10"/>
      <c r="H47" s="5">
        <v>46</v>
      </c>
      <c r="I47" s="60">
        <f>D61</f>
        <v>45</v>
      </c>
    </row>
    <row r="48" spans="1:9" ht="12.75" customHeight="1">
      <c r="A48" s="54" t="s">
        <v>191</v>
      </c>
      <c r="B48" s="56">
        <v>47</v>
      </c>
      <c r="C48" s="60" t="s">
        <v>88</v>
      </c>
      <c r="D48" s="5">
        <v>46</v>
      </c>
      <c r="E48" s="77">
        <v>56</v>
      </c>
      <c r="F48" s="10"/>
      <c r="H48" s="5">
        <v>47</v>
      </c>
      <c r="I48" s="60">
        <f>D63</f>
        <v>30</v>
      </c>
    </row>
    <row r="49" spans="1:12" ht="12.75" customHeight="1">
      <c r="A49" s="54" t="s">
        <v>192</v>
      </c>
      <c r="B49" s="56">
        <v>48</v>
      </c>
      <c r="C49" s="60" t="s">
        <v>89</v>
      </c>
      <c r="D49" s="5">
        <v>48</v>
      </c>
      <c r="E49" s="77">
        <v>40</v>
      </c>
      <c r="F49" s="10"/>
      <c r="H49" s="5">
        <v>48</v>
      </c>
      <c r="I49" s="60">
        <f>D65</f>
        <v>32</v>
      </c>
    </row>
    <row r="50" spans="1:12" ht="12.75" customHeight="1">
      <c r="A50" s="54" t="s">
        <v>193</v>
      </c>
      <c r="B50" s="56">
        <v>49</v>
      </c>
      <c r="C50" s="60" t="s">
        <v>90</v>
      </c>
      <c r="D50" s="5">
        <v>32</v>
      </c>
      <c r="E50" s="77">
        <v>57</v>
      </c>
      <c r="F50" s="10"/>
      <c r="H50" s="5">
        <v>49</v>
      </c>
      <c r="I50" s="60">
        <f>D34</f>
        <v>46</v>
      </c>
    </row>
    <row r="51" spans="1:12" ht="12.75" customHeight="1">
      <c r="A51" s="54" t="s">
        <v>194</v>
      </c>
      <c r="B51" s="56">
        <v>50</v>
      </c>
      <c r="C51" s="60" t="s">
        <v>91</v>
      </c>
      <c r="D51" s="5">
        <v>32</v>
      </c>
      <c r="E51" s="77">
        <v>41</v>
      </c>
      <c r="F51" s="10"/>
      <c r="H51" s="5">
        <v>50</v>
      </c>
      <c r="I51" s="60">
        <f>D36</f>
        <v>47</v>
      </c>
      <c r="L51" s="48"/>
    </row>
    <row r="52" spans="1:12" ht="12.75" customHeight="1">
      <c r="A52" s="54" t="s">
        <v>195</v>
      </c>
      <c r="B52" s="56">
        <v>51</v>
      </c>
      <c r="C52" s="60" t="s">
        <v>92</v>
      </c>
      <c r="D52" s="5">
        <v>42</v>
      </c>
      <c r="E52" s="77">
        <v>58</v>
      </c>
      <c r="F52" s="10"/>
      <c r="H52" s="5">
        <v>51</v>
      </c>
      <c r="I52" s="60">
        <f>D38</f>
        <v>36</v>
      </c>
    </row>
    <row r="53" spans="1:12" ht="12.75" customHeight="1">
      <c r="A53" s="54" t="s">
        <v>196</v>
      </c>
      <c r="B53" s="56">
        <v>52</v>
      </c>
      <c r="C53" s="60" t="s">
        <v>93</v>
      </c>
      <c r="D53" s="5">
        <v>38</v>
      </c>
      <c r="E53" s="77">
        <v>42</v>
      </c>
      <c r="F53" s="10"/>
      <c r="H53" s="5">
        <v>52</v>
      </c>
      <c r="I53" s="60">
        <f>D40</f>
        <v>50</v>
      </c>
    </row>
    <row r="54" spans="1:12" ht="12.75" customHeight="1">
      <c r="A54" s="54" t="s">
        <v>197</v>
      </c>
      <c r="B54" s="56">
        <v>53</v>
      </c>
      <c r="C54" s="60" t="s">
        <v>94</v>
      </c>
      <c r="D54" s="5">
        <v>34</v>
      </c>
      <c r="E54" s="77">
        <v>59</v>
      </c>
      <c r="F54" s="10"/>
      <c r="H54" s="5">
        <v>53</v>
      </c>
      <c r="I54" s="60">
        <f>D42</f>
        <v>46</v>
      </c>
    </row>
    <row r="55" spans="1:12" ht="12.75" customHeight="1">
      <c r="A55" s="54" t="s">
        <v>198</v>
      </c>
      <c r="B55" s="56">
        <v>54</v>
      </c>
      <c r="C55" s="60" t="s">
        <v>95</v>
      </c>
      <c r="D55" s="5">
        <v>47</v>
      </c>
      <c r="E55" s="77">
        <v>43</v>
      </c>
      <c r="F55" s="10"/>
      <c r="H55" s="5">
        <v>54</v>
      </c>
      <c r="I55" s="60">
        <f>D44</f>
        <v>40</v>
      </c>
    </row>
    <row r="56" spans="1:12" ht="12.75" customHeight="1">
      <c r="A56" s="54" t="s">
        <v>199</v>
      </c>
      <c r="B56" s="56">
        <v>55</v>
      </c>
      <c r="C56" s="60" t="s">
        <v>96</v>
      </c>
      <c r="D56" s="5">
        <v>41</v>
      </c>
      <c r="E56" s="77">
        <v>60</v>
      </c>
      <c r="F56" s="10"/>
      <c r="H56" s="5">
        <v>55</v>
      </c>
      <c r="I56" s="60">
        <f>D46</f>
        <v>46</v>
      </c>
    </row>
    <row r="57" spans="1:12" ht="12.75" customHeight="1">
      <c r="A57" s="54" t="s">
        <v>200</v>
      </c>
      <c r="B57" s="56">
        <v>56</v>
      </c>
      <c r="C57" s="60" t="s">
        <v>97</v>
      </c>
      <c r="D57" s="5">
        <v>40</v>
      </c>
      <c r="E57" s="77">
        <v>44</v>
      </c>
      <c r="F57" s="10"/>
      <c r="H57" s="5">
        <v>56</v>
      </c>
      <c r="I57" s="60">
        <f>D48</f>
        <v>46</v>
      </c>
    </row>
    <row r="58" spans="1:12" ht="12.75" customHeight="1">
      <c r="A58" s="54" t="s">
        <v>201</v>
      </c>
      <c r="B58" s="56">
        <v>57</v>
      </c>
      <c r="C58" s="60" t="s">
        <v>98</v>
      </c>
      <c r="D58" s="5">
        <v>45</v>
      </c>
      <c r="E58" s="77">
        <v>61</v>
      </c>
      <c r="F58" s="10"/>
      <c r="H58" s="5">
        <v>57</v>
      </c>
      <c r="I58" s="60">
        <f>D50</f>
        <v>32</v>
      </c>
    </row>
    <row r="59" spans="1:12" ht="12.75" customHeight="1">
      <c r="A59" s="54" t="s">
        <v>202</v>
      </c>
      <c r="B59" s="56">
        <v>58</v>
      </c>
      <c r="C59" s="60" t="s">
        <v>99</v>
      </c>
      <c r="D59" s="5">
        <v>38</v>
      </c>
      <c r="E59" s="77">
        <v>45</v>
      </c>
      <c r="F59" s="10"/>
      <c r="H59" s="5">
        <v>58</v>
      </c>
      <c r="I59" s="60">
        <f>D52</f>
        <v>42</v>
      </c>
    </row>
    <row r="60" spans="1:12" ht="12.75" customHeight="1">
      <c r="A60" s="54" t="s">
        <v>203</v>
      </c>
      <c r="B60" s="56">
        <v>59</v>
      </c>
      <c r="C60" s="60" t="s">
        <v>100</v>
      </c>
      <c r="D60" s="5">
        <v>45</v>
      </c>
      <c r="E60" s="77">
        <v>62</v>
      </c>
      <c r="F60" s="10"/>
      <c r="H60" s="5">
        <v>59</v>
      </c>
      <c r="I60" s="60">
        <f>D54</f>
        <v>34</v>
      </c>
    </row>
    <row r="61" spans="1:12" ht="12.75" customHeight="1">
      <c r="A61" s="54" t="s">
        <v>204</v>
      </c>
      <c r="B61" s="56">
        <v>60</v>
      </c>
      <c r="C61" s="60" t="s">
        <v>101</v>
      </c>
      <c r="D61" s="5">
        <v>45</v>
      </c>
      <c r="E61" s="77">
        <v>46</v>
      </c>
      <c r="F61" s="10"/>
      <c r="H61" s="5">
        <v>60</v>
      </c>
      <c r="I61" s="60">
        <f>D56</f>
        <v>41</v>
      </c>
    </row>
    <row r="62" spans="1:12" ht="12.75" customHeight="1">
      <c r="A62" s="54" t="s">
        <v>205</v>
      </c>
      <c r="B62" s="56">
        <v>61</v>
      </c>
      <c r="C62" s="60" t="s">
        <v>102</v>
      </c>
      <c r="D62" s="5">
        <v>45</v>
      </c>
      <c r="E62" s="77">
        <v>63</v>
      </c>
      <c r="F62" s="10"/>
      <c r="H62" s="5">
        <v>61</v>
      </c>
      <c r="I62" s="60">
        <f>D58</f>
        <v>45</v>
      </c>
    </row>
    <row r="63" spans="1:12" ht="12.75" customHeight="1">
      <c r="A63" s="54" t="s">
        <v>206</v>
      </c>
      <c r="B63" s="56">
        <v>62</v>
      </c>
      <c r="C63" s="60" t="s">
        <v>103</v>
      </c>
      <c r="D63" s="5">
        <v>30</v>
      </c>
      <c r="E63" s="77">
        <v>47</v>
      </c>
      <c r="F63" s="10"/>
      <c r="H63" s="5">
        <v>62</v>
      </c>
      <c r="I63" s="60">
        <f>D60</f>
        <v>45</v>
      </c>
    </row>
    <row r="64" spans="1:12" ht="12.75" customHeight="1">
      <c r="A64" s="54" t="s">
        <v>207</v>
      </c>
      <c r="B64" s="56">
        <v>63</v>
      </c>
      <c r="C64" s="60" t="s">
        <v>104</v>
      </c>
      <c r="D64" s="5">
        <v>50</v>
      </c>
      <c r="E64" s="77">
        <v>64</v>
      </c>
      <c r="F64" s="10"/>
      <c r="H64" s="5">
        <v>63</v>
      </c>
      <c r="I64" s="60">
        <f>D62</f>
        <v>45</v>
      </c>
    </row>
    <row r="65" spans="1:9" ht="12.75" customHeight="1" thickBot="1">
      <c r="A65" s="55" t="s">
        <v>208</v>
      </c>
      <c r="B65" s="58">
        <v>64</v>
      </c>
      <c r="C65" s="61" t="s">
        <v>105</v>
      </c>
      <c r="D65" s="7">
        <v>32</v>
      </c>
      <c r="E65" s="81">
        <v>48</v>
      </c>
      <c r="F65" s="10"/>
      <c r="H65" s="7">
        <v>64</v>
      </c>
      <c r="I65" s="61">
        <f>D64</f>
        <v>50</v>
      </c>
    </row>
    <row r="66" spans="1:9" ht="12.75" customHeight="1">
      <c r="A66" s="53" t="s">
        <v>209</v>
      </c>
      <c r="B66" s="57">
        <v>65</v>
      </c>
      <c r="C66" s="59" t="s">
        <v>106</v>
      </c>
      <c r="D66" s="3">
        <v>41</v>
      </c>
      <c r="E66" s="80">
        <v>81</v>
      </c>
      <c r="F66" s="10"/>
      <c r="H66" s="3">
        <v>65</v>
      </c>
      <c r="I66" s="59">
        <f>D67</f>
        <v>46</v>
      </c>
    </row>
    <row r="67" spans="1:9" ht="12.75" customHeight="1">
      <c r="A67" s="54" t="s">
        <v>210</v>
      </c>
      <c r="B67" s="56">
        <v>66</v>
      </c>
      <c r="C67" s="60" t="s">
        <v>107</v>
      </c>
      <c r="D67" s="5">
        <v>46</v>
      </c>
      <c r="E67" s="77">
        <v>65</v>
      </c>
      <c r="F67" s="10"/>
      <c r="H67" s="5">
        <v>66</v>
      </c>
      <c r="I67" s="60">
        <f>D69</f>
        <v>37</v>
      </c>
    </row>
    <row r="68" spans="1:9" ht="12.75" customHeight="1">
      <c r="A68" s="54" t="s">
        <v>211</v>
      </c>
      <c r="B68" s="56">
        <v>67</v>
      </c>
      <c r="C68" s="60" t="s">
        <v>108</v>
      </c>
      <c r="D68" s="5">
        <v>37</v>
      </c>
      <c r="E68" s="77">
        <v>82</v>
      </c>
      <c r="F68" s="10"/>
      <c r="H68" s="5">
        <v>67</v>
      </c>
      <c r="I68" s="60">
        <f>D71</f>
        <v>35</v>
      </c>
    </row>
    <row r="69" spans="1:9" ht="12.75" customHeight="1">
      <c r="A69" s="54" t="s">
        <v>212</v>
      </c>
      <c r="B69" s="56">
        <v>68</v>
      </c>
      <c r="C69" s="60" t="s">
        <v>109</v>
      </c>
      <c r="D69" s="5">
        <v>37</v>
      </c>
      <c r="E69" s="77">
        <v>66</v>
      </c>
      <c r="F69" s="10"/>
      <c r="H69" s="5">
        <v>68</v>
      </c>
      <c r="I69" s="60">
        <f>D73</f>
        <v>46</v>
      </c>
    </row>
    <row r="70" spans="1:9" ht="12.75" customHeight="1">
      <c r="A70" s="54" t="s">
        <v>213</v>
      </c>
      <c r="B70" s="56">
        <v>69</v>
      </c>
      <c r="C70" s="60" t="s">
        <v>110</v>
      </c>
      <c r="D70" s="5">
        <v>47</v>
      </c>
      <c r="E70" s="77">
        <v>83</v>
      </c>
      <c r="F70" s="10"/>
      <c r="H70" s="5">
        <v>69</v>
      </c>
      <c r="I70" s="60">
        <f>D75</f>
        <v>47</v>
      </c>
    </row>
    <row r="71" spans="1:9" ht="12.75" customHeight="1">
      <c r="A71" s="54" t="s">
        <v>214</v>
      </c>
      <c r="B71" s="56">
        <v>70</v>
      </c>
      <c r="C71" s="60" t="s">
        <v>111</v>
      </c>
      <c r="D71" s="5">
        <v>35</v>
      </c>
      <c r="E71" s="77">
        <v>67</v>
      </c>
      <c r="F71" s="10"/>
      <c r="H71" s="5">
        <v>70</v>
      </c>
      <c r="I71" s="60">
        <f>D77</f>
        <v>34</v>
      </c>
    </row>
    <row r="72" spans="1:9" ht="12.75" customHeight="1">
      <c r="A72" s="54" t="s">
        <v>215</v>
      </c>
      <c r="B72" s="56">
        <v>71</v>
      </c>
      <c r="C72" s="60" t="s">
        <v>112</v>
      </c>
      <c r="D72" s="5">
        <v>35</v>
      </c>
      <c r="E72" s="77">
        <v>84</v>
      </c>
      <c r="F72" s="10"/>
      <c r="H72" s="5">
        <v>71</v>
      </c>
      <c r="I72" s="60">
        <f>D79</f>
        <v>45</v>
      </c>
    </row>
    <row r="73" spans="1:9" ht="12.75" customHeight="1">
      <c r="A73" s="54" t="s">
        <v>216</v>
      </c>
      <c r="B73" s="56">
        <v>72</v>
      </c>
      <c r="C73" s="60" t="s">
        <v>113</v>
      </c>
      <c r="D73" s="5">
        <v>46</v>
      </c>
      <c r="E73" s="77">
        <v>68</v>
      </c>
      <c r="F73" s="10"/>
      <c r="H73" s="5">
        <v>72</v>
      </c>
      <c r="I73" s="60">
        <f>D81</f>
        <v>52</v>
      </c>
    </row>
    <row r="74" spans="1:9" ht="12.75" customHeight="1">
      <c r="A74" s="54" t="s">
        <v>217</v>
      </c>
      <c r="B74" s="56">
        <v>73</v>
      </c>
      <c r="C74" s="60" t="s">
        <v>114</v>
      </c>
      <c r="D74" s="5">
        <v>44</v>
      </c>
      <c r="E74" s="77">
        <v>85</v>
      </c>
      <c r="F74" s="10"/>
      <c r="H74" s="5">
        <v>73</v>
      </c>
      <c r="I74" s="60">
        <f>D83</f>
        <v>31</v>
      </c>
    </row>
    <row r="75" spans="1:9" ht="12.75" customHeight="1">
      <c r="A75" s="54" t="s">
        <v>218</v>
      </c>
      <c r="B75" s="56">
        <v>74</v>
      </c>
      <c r="C75" s="60" t="s">
        <v>115</v>
      </c>
      <c r="D75" s="5">
        <v>47</v>
      </c>
      <c r="E75" s="77">
        <v>69</v>
      </c>
      <c r="F75" s="10"/>
      <c r="H75" s="5">
        <v>74</v>
      </c>
      <c r="I75" s="60">
        <f>D85</f>
        <v>40</v>
      </c>
    </row>
    <row r="76" spans="1:9" ht="12.75" customHeight="1">
      <c r="A76" s="54" t="s">
        <v>219</v>
      </c>
      <c r="B76" s="56">
        <v>75</v>
      </c>
      <c r="C76" s="60" t="s">
        <v>116</v>
      </c>
      <c r="D76" s="5">
        <v>46</v>
      </c>
      <c r="E76" s="77">
        <v>86</v>
      </c>
      <c r="F76" s="10"/>
      <c r="H76" s="5">
        <v>75</v>
      </c>
      <c r="I76" s="60">
        <f>D87</f>
        <v>55</v>
      </c>
    </row>
    <row r="77" spans="1:9" ht="12.75" customHeight="1">
      <c r="A77" s="54" t="s">
        <v>220</v>
      </c>
      <c r="B77" s="56">
        <v>76</v>
      </c>
      <c r="C77" s="60" t="s">
        <v>117</v>
      </c>
      <c r="D77" s="5">
        <v>34</v>
      </c>
      <c r="E77" s="77">
        <v>70</v>
      </c>
      <c r="F77" s="10"/>
      <c r="H77" s="5">
        <v>76</v>
      </c>
      <c r="I77" s="60">
        <f>D89</f>
        <v>45</v>
      </c>
    </row>
    <row r="78" spans="1:9" ht="12.75" customHeight="1">
      <c r="A78" s="54" t="s">
        <v>221</v>
      </c>
      <c r="B78" s="56">
        <v>77</v>
      </c>
      <c r="C78" s="60" t="s">
        <v>118</v>
      </c>
      <c r="D78" s="5">
        <v>46</v>
      </c>
      <c r="E78" s="77">
        <v>87</v>
      </c>
      <c r="F78" s="10"/>
      <c r="H78" s="5">
        <v>77</v>
      </c>
      <c r="I78" s="60">
        <f>D91</f>
        <v>30</v>
      </c>
    </row>
    <row r="79" spans="1:9" ht="12.75" customHeight="1">
      <c r="A79" s="54" t="s">
        <v>222</v>
      </c>
      <c r="B79" s="56">
        <v>78</v>
      </c>
      <c r="C79" s="60" t="s">
        <v>119</v>
      </c>
      <c r="D79" s="5">
        <v>45</v>
      </c>
      <c r="E79" s="77">
        <v>71</v>
      </c>
      <c r="F79" s="10"/>
      <c r="H79" s="5">
        <v>78</v>
      </c>
      <c r="I79" s="60">
        <f>D93</f>
        <v>46</v>
      </c>
    </row>
    <row r="80" spans="1:9" ht="12.75" customHeight="1">
      <c r="A80" s="54" t="s">
        <v>223</v>
      </c>
      <c r="B80" s="56">
        <v>79</v>
      </c>
      <c r="C80" s="60" t="s">
        <v>120</v>
      </c>
      <c r="D80" s="5">
        <v>47</v>
      </c>
      <c r="E80" s="77">
        <v>88</v>
      </c>
      <c r="F80" s="10"/>
      <c r="H80" s="5">
        <v>79</v>
      </c>
      <c r="I80" s="60">
        <f>D95</f>
        <v>47</v>
      </c>
    </row>
    <row r="81" spans="1:9" ht="12.75" customHeight="1">
      <c r="A81" s="54" t="s">
        <v>224</v>
      </c>
      <c r="B81" s="56">
        <v>80</v>
      </c>
      <c r="C81" s="60" t="s">
        <v>121</v>
      </c>
      <c r="D81" s="5">
        <v>52</v>
      </c>
      <c r="E81" s="77">
        <v>72</v>
      </c>
      <c r="F81" s="10"/>
      <c r="H81" s="5">
        <v>80</v>
      </c>
      <c r="I81" s="60">
        <f>D97</f>
        <v>46</v>
      </c>
    </row>
    <row r="82" spans="1:9" ht="12.75" customHeight="1">
      <c r="A82" s="54" t="s">
        <v>225</v>
      </c>
      <c r="B82" s="56">
        <v>81</v>
      </c>
      <c r="C82" s="60" t="s">
        <v>122</v>
      </c>
      <c r="D82" s="5">
        <v>44</v>
      </c>
      <c r="E82" s="77">
        <v>89</v>
      </c>
      <c r="F82" s="10"/>
      <c r="H82" s="5">
        <v>81</v>
      </c>
      <c r="I82" s="60">
        <f>D66</f>
        <v>41</v>
      </c>
    </row>
    <row r="83" spans="1:9" ht="12.75" customHeight="1">
      <c r="A83" s="54" t="s">
        <v>226</v>
      </c>
      <c r="B83" s="56">
        <v>82</v>
      </c>
      <c r="C83" s="60" t="s">
        <v>123</v>
      </c>
      <c r="D83" s="5">
        <v>31</v>
      </c>
      <c r="E83" s="77">
        <v>73</v>
      </c>
      <c r="F83" s="10"/>
      <c r="H83" s="5">
        <v>82</v>
      </c>
      <c r="I83" s="60">
        <f>D68</f>
        <v>37</v>
      </c>
    </row>
    <row r="84" spans="1:9" ht="12.75" customHeight="1">
      <c r="A84" s="54" t="s">
        <v>227</v>
      </c>
      <c r="B84" s="56">
        <v>83</v>
      </c>
      <c r="C84" s="60" t="s">
        <v>124</v>
      </c>
      <c r="D84" s="5">
        <v>46</v>
      </c>
      <c r="E84" s="77">
        <v>90</v>
      </c>
      <c r="F84" s="10"/>
      <c r="H84" s="5">
        <v>83</v>
      </c>
      <c r="I84" s="60">
        <f>D70</f>
        <v>47</v>
      </c>
    </row>
    <row r="85" spans="1:9" ht="12.75" customHeight="1">
      <c r="A85" s="54" t="s">
        <v>228</v>
      </c>
      <c r="B85" s="56">
        <v>84</v>
      </c>
      <c r="C85" s="60" t="s">
        <v>125</v>
      </c>
      <c r="D85" s="5">
        <v>40</v>
      </c>
      <c r="E85" s="77">
        <v>74</v>
      </c>
      <c r="F85" s="10"/>
      <c r="H85" s="5">
        <v>84</v>
      </c>
      <c r="I85" s="60">
        <f>D72</f>
        <v>35</v>
      </c>
    </row>
    <row r="86" spans="1:9" ht="12.75" customHeight="1">
      <c r="A86" s="54" t="s">
        <v>229</v>
      </c>
      <c r="B86" s="56">
        <v>85</v>
      </c>
      <c r="C86" s="60" t="s">
        <v>126</v>
      </c>
      <c r="D86" s="5">
        <v>47</v>
      </c>
      <c r="E86" s="77">
        <v>91</v>
      </c>
      <c r="F86" s="10"/>
      <c r="H86" s="5">
        <v>85</v>
      </c>
      <c r="I86" s="60">
        <f>D74</f>
        <v>44</v>
      </c>
    </row>
    <row r="87" spans="1:9" ht="12.75" customHeight="1">
      <c r="A87" s="54" t="s">
        <v>230</v>
      </c>
      <c r="B87" s="56">
        <v>86</v>
      </c>
      <c r="C87" s="60" t="s">
        <v>127</v>
      </c>
      <c r="D87" s="5">
        <v>55</v>
      </c>
      <c r="E87" s="77">
        <v>75</v>
      </c>
      <c r="F87" s="10"/>
      <c r="H87" s="5">
        <v>86</v>
      </c>
      <c r="I87" s="60">
        <f>D76</f>
        <v>46</v>
      </c>
    </row>
    <row r="88" spans="1:9" ht="12.75" customHeight="1">
      <c r="A88" s="54" t="s">
        <v>231</v>
      </c>
      <c r="B88" s="56">
        <v>87</v>
      </c>
      <c r="C88" s="60" t="s">
        <v>128</v>
      </c>
      <c r="D88" s="5">
        <v>46</v>
      </c>
      <c r="E88" s="77">
        <v>92</v>
      </c>
      <c r="F88" s="10"/>
      <c r="H88" s="5">
        <v>87</v>
      </c>
      <c r="I88" s="60">
        <f>D78</f>
        <v>46</v>
      </c>
    </row>
    <row r="89" spans="1:9" ht="12.75" customHeight="1">
      <c r="A89" s="54" t="s">
        <v>232</v>
      </c>
      <c r="B89" s="56">
        <v>88</v>
      </c>
      <c r="C89" s="60" t="s">
        <v>129</v>
      </c>
      <c r="D89" s="5">
        <v>45</v>
      </c>
      <c r="E89" s="77">
        <v>76</v>
      </c>
      <c r="F89" s="10"/>
      <c r="H89" s="5">
        <v>88</v>
      </c>
      <c r="I89" s="60">
        <f>D80</f>
        <v>47</v>
      </c>
    </row>
    <row r="90" spans="1:9" ht="12.75" customHeight="1">
      <c r="A90" s="54" t="s">
        <v>233</v>
      </c>
      <c r="B90" s="56">
        <v>89</v>
      </c>
      <c r="C90" s="60" t="s">
        <v>130</v>
      </c>
      <c r="D90" s="5">
        <v>48</v>
      </c>
      <c r="E90" s="77">
        <v>93</v>
      </c>
      <c r="F90" s="10"/>
      <c r="H90" s="5">
        <v>89</v>
      </c>
      <c r="I90" s="60">
        <f>D82</f>
        <v>44</v>
      </c>
    </row>
    <row r="91" spans="1:9" ht="12.75" customHeight="1">
      <c r="A91" s="54" t="s">
        <v>234</v>
      </c>
      <c r="B91" s="56">
        <v>90</v>
      </c>
      <c r="C91" s="60" t="s">
        <v>131</v>
      </c>
      <c r="D91" s="5">
        <v>30</v>
      </c>
      <c r="E91" s="77">
        <v>77</v>
      </c>
      <c r="F91" s="10"/>
      <c r="H91" s="5">
        <v>90</v>
      </c>
      <c r="I91" s="60">
        <f>D84</f>
        <v>46</v>
      </c>
    </row>
    <row r="92" spans="1:9" ht="12.75" customHeight="1">
      <c r="A92" s="54" t="s">
        <v>235</v>
      </c>
      <c r="B92" s="56">
        <v>91</v>
      </c>
      <c r="C92" s="60" t="s">
        <v>132</v>
      </c>
      <c r="D92" s="5">
        <v>47</v>
      </c>
      <c r="E92" s="77">
        <v>94</v>
      </c>
      <c r="F92" s="10"/>
      <c r="H92" s="5">
        <v>91</v>
      </c>
      <c r="I92" s="60">
        <f>D86</f>
        <v>47</v>
      </c>
    </row>
    <row r="93" spans="1:9" ht="12.75" customHeight="1">
      <c r="A93" s="54" t="s">
        <v>236</v>
      </c>
      <c r="B93" s="56">
        <v>92</v>
      </c>
      <c r="C93" s="60" t="s">
        <v>133</v>
      </c>
      <c r="D93" s="5">
        <v>46</v>
      </c>
      <c r="E93" s="77">
        <v>78</v>
      </c>
      <c r="F93" s="10"/>
      <c r="H93" s="5">
        <v>92</v>
      </c>
      <c r="I93" s="60">
        <f>D88</f>
        <v>46</v>
      </c>
    </row>
    <row r="94" spans="1:9" ht="12.75" customHeight="1">
      <c r="A94" s="54" t="s">
        <v>237</v>
      </c>
      <c r="B94" s="56">
        <v>93</v>
      </c>
      <c r="C94" s="60" t="s">
        <v>134</v>
      </c>
      <c r="D94" s="5">
        <v>43</v>
      </c>
      <c r="E94" s="77">
        <v>95</v>
      </c>
      <c r="F94" s="10"/>
      <c r="H94" s="5">
        <v>93</v>
      </c>
      <c r="I94" s="60">
        <f>D90</f>
        <v>48</v>
      </c>
    </row>
    <row r="95" spans="1:9" ht="12.75" customHeight="1">
      <c r="A95" s="54" t="s">
        <v>238</v>
      </c>
      <c r="B95" s="56">
        <v>94</v>
      </c>
      <c r="C95" s="60" t="s">
        <v>135</v>
      </c>
      <c r="D95" s="5">
        <v>47</v>
      </c>
      <c r="E95" s="77">
        <v>79</v>
      </c>
      <c r="F95" s="10"/>
      <c r="H95" s="5">
        <v>94</v>
      </c>
      <c r="I95" s="60">
        <f>D92</f>
        <v>47</v>
      </c>
    </row>
    <row r="96" spans="1:9" ht="12.75" customHeight="1">
      <c r="A96" s="54" t="s">
        <v>239</v>
      </c>
      <c r="B96" s="56">
        <v>95</v>
      </c>
      <c r="C96" s="60" t="s">
        <v>136</v>
      </c>
      <c r="D96" s="5">
        <v>30</v>
      </c>
      <c r="E96" s="77">
        <v>96</v>
      </c>
      <c r="F96" s="10"/>
      <c r="H96" s="5">
        <v>95</v>
      </c>
      <c r="I96" s="60">
        <f>D94</f>
        <v>43</v>
      </c>
    </row>
    <row r="97" spans="1:9" ht="12.75" customHeight="1" thickBot="1">
      <c r="A97" s="55" t="s">
        <v>240</v>
      </c>
      <c r="B97" s="58">
        <v>96</v>
      </c>
      <c r="C97" s="61" t="s">
        <v>137</v>
      </c>
      <c r="D97" s="7">
        <v>46</v>
      </c>
      <c r="E97" s="81">
        <v>80</v>
      </c>
      <c r="F97" s="10"/>
      <c r="H97" s="7">
        <v>96</v>
      </c>
      <c r="I97" s="61">
        <f>D96</f>
        <v>30</v>
      </c>
    </row>
    <row r="98" spans="1:9" ht="12.75" customHeight="1">
      <c r="B98" s="10"/>
      <c r="C98" s="42"/>
      <c r="D98" s="10"/>
      <c r="E98" s="10"/>
      <c r="F98" s="10"/>
      <c r="H98" s="10"/>
    </row>
    <row r="99" spans="1:9" ht="12.75" customHeight="1">
      <c r="B99" s="10"/>
      <c r="C99" s="42"/>
      <c r="D99" s="10"/>
      <c r="E99" s="10"/>
      <c r="F99" s="10"/>
      <c r="H99" s="10"/>
    </row>
    <row r="100" spans="1:9" ht="12.75" customHeight="1">
      <c r="B100" s="10"/>
      <c r="C100" s="42"/>
      <c r="D100" s="10"/>
      <c r="E100" s="10"/>
      <c r="F100" s="10"/>
      <c r="H100" s="10"/>
    </row>
    <row r="101" spans="1:9" ht="12.75" customHeight="1">
      <c r="B101" s="10"/>
      <c r="C101" s="10"/>
      <c r="D101" s="10"/>
      <c r="E101" s="10"/>
      <c r="F101" s="10"/>
      <c r="H101" s="10"/>
    </row>
    <row r="102" spans="1:9" ht="12.75" customHeight="1">
      <c r="B102" s="10"/>
      <c r="C102" s="10"/>
      <c r="D102" s="10"/>
      <c r="E102" s="10"/>
      <c r="F102" s="10"/>
      <c r="H102" s="10"/>
    </row>
    <row r="103" spans="1:9" ht="12.75" customHeight="1">
      <c r="B103" s="10"/>
      <c r="C103" s="10"/>
      <c r="D103" s="10"/>
      <c r="E103" s="10"/>
      <c r="F103" s="10"/>
      <c r="H103" s="10"/>
    </row>
    <row r="104" spans="1:9" ht="12.75" customHeight="1">
      <c r="B104" s="10"/>
      <c r="C104" s="10"/>
      <c r="D104" s="10"/>
      <c r="E104" s="10"/>
      <c r="F104" s="10"/>
      <c r="H104" s="10"/>
    </row>
    <row r="105" spans="1:9" ht="12.75" customHeight="1">
      <c r="B105" s="10"/>
      <c r="C105" s="10"/>
      <c r="D105" s="10"/>
      <c r="E105" s="10"/>
      <c r="F105" s="10"/>
      <c r="H105" s="10"/>
    </row>
    <row r="106" spans="1:9" ht="12.75" customHeight="1">
      <c r="B106" s="10"/>
      <c r="C106" s="10"/>
      <c r="D106" s="10"/>
      <c r="E106" s="10"/>
      <c r="F106" s="10"/>
      <c r="H106" s="10"/>
    </row>
    <row r="107" spans="1:9" customFormat="1" ht="12.75" customHeight="1">
      <c r="B107" s="10"/>
      <c r="C107" s="10"/>
      <c r="D107" s="10"/>
      <c r="E107" s="10"/>
      <c r="F107" s="10"/>
      <c r="H107" s="10"/>
    </row>
    <row r="108" spans="1:9" customFormat="1" ht="12.75" customHeight="1">
      <c r="B108" s="10"/>
      <c r="C108" s="10"/>
      <c r="D108" s="10"/>
      <c r="E108" s="10"/>
      <c r="F108" s="10"/>
      <c r="H108" s="10"/>
    </row>
    <row r="109" spans="1:9" customFormat="1" ht="12.75" customHeight="1">
      <c r="B109" s="10"/>
      <c r="C109" s="10"/>
      <c r="D109" s="10"/>
      <c r="E109" s="10"/>
      <c r="F109" s="10"/>
      <c r="H109" s="10"/>
    </row>
    <row r="110" spans="1:9" customFormat="1" ht="12.75" customHeight="1">
      <c r="B110" s="10"/>
      <c r="C110" s="10"/>
      <c r="D110" s="10"/>
      <c r="E110" s="10"/>
      <c r="F110" s="10"/>
      <c r="H110" s="10"/>
    </row>
    <row r="111" spans="1:9" customFormat="1" ht="12.75" customHeight="1">
      <c r="B111" s="10"/>
      <c r="C111" s="10"/>
      <c r="D111" s="10"/>
      <c r="E111" s="10"/>
      <c r="F111" s="10"/>
      <c r="H111" s="10"/>
    </row>
    <row r="112" spans="1:9" customFormat="1" ht="12.75" customHeight="1">
      <c r="B112" s="10"/>
      <c r="C112" s="10"/>
      <c r="D112" s="10"/>
      <c r="E112" s="10"/>
      <c r="F112" s="10"/>
      <c r="H112" s="10"/>
    </row>
    <row r="113" spans="2:8" ht="12.75" customHeight="1">
      <c r="B113" s="10"/>
      <c r="C113" s="10"/>
      <c r="D113" s="10"/>
      <c r="E113" s="10"/>
      <c r="F113" s="10"/>
      <c r="H113" s="10"/>
    </row>
    <row r="114" spans="2:8" ht="12.75" customHeight="1">
      <c r="B114" s="10"/>
      <c r="C114" s="10"/>
      <c r="D114" s="10"/>
      <c r="E114" s="10"/>
      <c r="F114" s="10"/>
      <c r="H114" s="10"/>
    </row>
    <row r="115" spans="2:8" ht="12.75" customHeight="1">
      <c r="B115" s="10"/>
      <c r="C115" s="10"/>
      <c r="D115" s="10"/>
      <c r="E115" s="10"/>
      <c r="F115" s="10"/>
      <c r="H115" s="10"/>
    </row>
    <row r="116" spans="2:8" ht="12.75" customHeight="1">
      <c r="B116" s="10"/>
      <c r="C116" s="10"/>
      <c r="D116" s="10"/>
      <c r="E116" s="10"/>
      <c r="F116" s="10"/>
      <c r="H116" s="10"/>
    </row>
    <row r="117" spans="2:8" ht="12.75" customHeight="1">
      <c r="B117" s="10"/>
      <c r="C117" s="10"/>
      <c r="D117" s="10"/>
      <c r="E117" s="10"/>
      <c r="F117" s="10"/>
      <c r="H117" s="10"/>
    </row>
    <row r="118" spans="2:8" ht="12.75" customHeight="1">
      <c r="B118" s="10"/>
      <c r="C118" s="10"/>
      <c r="D118" s="10"/>
      <c r="E118" s="10"/>
      <c r="F118" s="10"/>
      <c r="H118" s="10"/>
    </row>
    <row r="119" spans="2:8" ht="12.75" customHeight="1">
      <c r="B119" s="10"/>
      <c r="C119" s="10"/>
      <c r="D119" s="10"/>
      <c r="E119" s="10"/>
      <c r="F119" s="10"/>
      <c r="H119" s="10"/>
    </row>
    <row r="120" spans="2:8" ht="12.75" customHeight="1">
      <c r="B120" s="10"/>
      <c r="C120" s="10"/>
      <c r="D120" s="10"/>
      <c r="E120" s="10"/>
      <c r="F120" s="10"/>
      <c r="H120" s="10"/>
    </row>
    <row r="121" spans="2:8" ht="12.75" customHeight="1">
      <c r="B121" s="10"/>
      <c r="C121" s="10"/>
      <c r="D121" s="10"/>
      <c r="E121" s="10"/>
      <c r="F121" s="10"/>
      <c r="H121" s="10"/>
    </row>
    <row r="122" spans="2:8" ht="12.75" customHeight="1">
      <c r="B122" s="10"/>
      <c r="C122" s="10"/>
      <c r="D122" s="10"/>
      <c r="E122" s="10"/>
      <c r="F122" s="10"/>
      <c r="H122" s="10"/>
    </row>
    <row r="123" spans="2:8" ht="12.75" customHeight="1">
      <c r="B123" s="10"/>
      <c r="C123" s="10"/>
      <c r="D123" s="10"/>
      <c r="E123" s="10"/>
      <c r="F123" s="10"/>
      <c r="H123" s="10"/>
    </row>
    <row r="124" spans="2:8" ht="12.75" customHeight="1">
      <c r="B124" s="10"/>
      <c r="C124" s="10"/>
      <c r="D124" s="10"/>
      <c r="E124" s="10"/>
      <c r="F124" s="10"/>
      <c r="H124" s="10"/>
    </row>
    <row r="125" spans="2:8" ht="12.75" customHeight="1">
      <c r="B125" s="10"/>
      <c r="C125" s="10"/>
      <c r="D125" s="10"/>
      <c r="E125" s="10"/>
      <c r="F125" s="10"/>
      <c r="H125" s="10"/>
    </row>
    <row r="126" spans="2:8" ht="12.75" customHeight="1">
      <c r="B126" s="10"/>
      <c r="C126" s="10"/>
      <c r="D126" s="10"/>
      <c r="E126" s="10"/>
      <c r="F126" s="10"/>
      <c r="H126" s="10"/>
    </row>
    <row r="127" spans="2:8" ht="12.75" customHeight="1">
      <c r="B127" s="10"/>
      <c r="C127" s="10"/>
      <c r="D127" s="10"/>
      <c r="E127" s="10"/>
      <c r="F127" s="10"/>
      <c r="H127" s="10"/>
    </row>
    <row r="128" spans="2:8" ht="12.75" customHeight="1">
      <c r="B128" s="10"/>
      <c r="C128" s="10"/>
      <c r="D128" s="10"/>
      <c r="E128" s="10"/>
      <c r="F128" s="10"/>
      <c r="H128" s="10"/>
    </row>
    <row r="129" spans="2:8" ht="12.75" customHeight="1">
      <c r="B129" s="10"/>
      <c r="C129" s="10"/>
      <c r="D129" s="10"/>
      <c r="E129" s="10"/>
      <c r="F129" s="10"/>
      <c r="H129" s="10"/>
    </row>
  </sheetData>
  <phoneticPr fontId="29"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A71"/>
  <sheetViews>
    <sheetView tabSelected="1" zoomScaleNormal="100" zoomScaleSheetLayoutView="100" workbookViewId="0">
      <selection activeCell="AT8" sqref="AT8"/>
    </sheetView>
  </sheetViews>
  <sheetFormatPr defaultColWidth="9.109375" defaultRowHeight="11.4"/>
  <cols>
    <col min="1" max="1" width="6.6640625" style="9" customWidth="1"/>
    <col min="2" max="2" width="9.109375" style="10" customWidth="1"/>
    <col min="3" max="3" width="5" style="9" customWidth="1"/>
    <col min="4" max="4" width="7.33203125" style="9" customWidth="1"/>
    <col min="5" max="5" width="9.109375" style="10"/>
    <col min="6" max="6" width="5" style="9" customWidth="1"/>
    <col min="7" max="7" width="7.33203125" style="9" customWidth="1"/>
    <col min="8" max="8" width="9.109375" style="10"/>
    <col min="9" max="9" width="5" style="9" customWidth="1"/>
    <col min="10" max="11" width="3.6640625" style="2" customWidth="1"/>
    <col min="12" max="12" width="3.6640625" style="2" hidden="1" customWidth="1"/>
    <col min="13" max="23" width="3.6640625" style="2" customWidth="1"/>
    <col min="24" max="24" width="3.88671875" style="2" customWidth="1"/>
    <col min="25" max="29" width="3.6640625" style="2" customWidth="1"/>
    <col min="30" max="31" width="3.6640625" style="2" hidden="1" customWidth="1"/>
    <col min="32" max="48" width="3.6640625" style="2" customWidth="1"/>
    <col min="49" max="51" width="3.6640625" style="2" hidden="1" customWidth="1"/>
    <col min="52" max="52" width="3.6640625" style="2" customWidth="1"/>
    <col min="53" max="16384" width="9.109375" style="2"/>
  </cols>
  <sheetData>
    <row r="1" spans="1:52" ht="15" customHeight="1">
      <c r="A1" s="11"/>
      <c r="B1" s="12"/>
      <c r="C1" s="13"/>
      <c r="D1" s="113" t="s">
        <v>7</v>
      </c>
      <c r="E1" s="102"/>
      <c r="F1" s="102"/>
      <c r="G1" s="102"/>
      <c r="H1" s="102"/>
      <c r="I1" s="102"/>
      <c r="J1" s="102"/>
      <c r="K1" s="102"/>
      <c r="L1" s="102"/>
      <c r="M1" s="102"/>
      <c r="N1" s="102"/>
      <c r="O1" s="102"/>
      <c r="P1" s="102"/>
      <c r="Q1" s="102"/>
      <c r="R1" s="102"/>
      <c r="S1" s="102"/>
      <c r="T1" s="102"/>
      <c r="U1" s="102"/>
      <c r="V1" s="102"/>
      <c r="W1" s="102"/>
      <c r="X1" s="102"/>
      <c r="Y1" s="102"/>
      <c r="Z1" s="101" t="s">
        <v>249</v>
      </c>
      <c r="AA1" s="102"/>
      <c r="AB1" s="102"/>
      <c r="AC1" s="102"/>
      <c r="AD1" s="102"/>
      <c r="AE1" s="102"/>
      <c r="AF1" s="102"/>
      <c r="AG1" s="102"/>
      <c r="AH1" s="102"/>
      <c r="AI1" s="103"/>
      <c r="AJ1"/>
    </row>
    <row r="2" spans="1:52" ht="15" customHeight="1">
      <c r="A2" s="84"/>
      <c r="D2" s="115" t="s">
        <v>243</v>
      </c>
      <c r="E2" s="116"/>
      <c r="F2" s="116"/>
      <c r="G2" s="116"/>
      <c r="H2" s="116"/>
      <c r="I2" s="116"/>
      <c r="J2" s="116"/>
      <c r="K2" s="116"/>
      <c r="L2" s="116"/>
      <c r="M2" s="116"/>
      <c r="N2" s="116"/>
      <c r="O2" s="116"/>
      <c r="P2" s="116"/>
      <c r="Q2" s="116"/>
      <c r="R2" s="116"/>
      <c r="S2" s="116"/>
      <c r="T2" s="116"/>
      <c r="U2" s="116"/>
      <c r="V2" s="116"/>
      <c r="W2" s="116"/>
      <c r="X2" s="116"/>
      <c r="Y2" s="116"/>
      <c r="Z2" s="87"/>
      <c r="AA2"/>
      <c r="AB2" s="27"/>
      <c r="AC2" s="27"/>
      <c r="AD2" s="27"/>
      <c r="AE2" s="27"/>
      <c r="AF2" s="27"/>
      <c r="AG2" s="27"/>
      <c r="AH2" s="27"/>
      <c r="AI2" s="88" t="s">
        <v>250</v>
      </c>
      <c r="AJ2"/>
    </row>
    <row r="3" spans="1:52" ht="15" customHeight="1">
      <c r="A3" s="84"/>
      <c r="D3" s="85"/>
      <c r="E3" s="86"/>
      <c r="F3" s="86"/>
      <c r="G3" s="86"/>
      <c r="H3" s="86"/>
      <c r="I3" s="86"/>
      <c r="J3" s="86"/>
      <c r="K3" s="86"/>
      <c r="L3" s="86"/>
      <c r="M3" s="86"/>
      <c r="N3" s="86"/>
      <c r="O3" s="86"/>
      <c r="P3" s="86"/>
      <c r="Q3" s="86"/>
      <c r="R3" s="86"/>
      <c r="S3" s="86"/>
      <c r="T3" s="86"/>
      <c r="U3" s="86"/>
      <c r="V3" s="86"/>
      <c r="W3" s="86"/>
      <c r="X3" s="86"/>
      <c r="Y3" s="86"/>
      <c r="Z3" s="87"/>
      <c r="AA3"/>
      <c r="AB3" s="104" t="s">
        <v>251</v>
      </c>
      <c r="AC3" s="104"/>
      <c r="AD3" s="104"/>
      <c r="AE3" s="104"/>
      <c r="AF3" s="104"/>
      <c r="AG3" s="104"/>
      <c r="AH3" s="104"/>
      <c r="AI3" s="105"/>
      <c r="AJ3"/>
    </row>
    <row r="4" spans="1:52" ht="15" customHeight="1">
      <c r="A4" s="89"/>
      <c r="B4" s="90"/>
      <c r="C4" s="91"/>
      <c r="D4" s="117"/>
      <c r="E4" s="107"/>
      <c r="F4" s="107"/>
      <c r="G4" s="107"/>
      <c r="H4" s="107"/>
      <c r="I4" s="107"/>
      <c r="J4" s="107"/>
      <c r="K4" s="107"/>
      <c r="L4" s="107"/>
      <c r="M4" s="107"/>
      <c r="N4" s="107"/>
      <c r="O4" s="107"/>
      <c r="P4" s="107"/>
      <c r="Q4" s="107"/>
      <c r="R4" s="107"/>
      <c r="S4" s="107"/>
      <c r="T4" s="107"/>
      <c r="U4" s="107"/>
      <c r="V4" s="107"/>
      <c r="W4" s="107"/>
      <c r="X4" s="107"/>
      <c r="Y4" s="107"/>
      <c r="Z4" s="106" t="s">
        <v>40</v>
      </c>
      <c r="AA4" s="107"/>
      <c r="AB4" s="107"/>
      <c r="AC4" s="107"/>
      <c r="AD4" s="107"/>
      <c r="AE4" s="107"/>
      <c r="AF4" s="107"/>
      <c r="AG4" s="107"/>
      <c r="AH4" s="107"/>
      <c r="AI4" s="108"/>
      <c r="AJ4"/>
    </row>
    <row r="5" spans="1:52" customFormat="1" ht="20.100000000000001" customHeight="1">
      <c r="A5" s="114" t="s">
        <v>256</v>
      </c>
      <c r="B5" s="114"/>
      <c r="C5" s="114"/>
      <c r="D5" s="114"/>
      <c r="E5" s="114" t="s">
        <v>260</v>
      </c>
      <c r="F5" s="114"/>
      <c r="G5" s="114"/>
      <c r="H5" s="109" t="s">
        <v>261</v>
      </c>
      <c r="I5" s="118"/>
      <c r="J5" s="118"/>
      <c r="K5" s="118"/>
      <c r="L5" s="118"/>
      <c r="M5" s="119"/>
      <c r="N5" s="109" t="s">
        <v>258</v>
      </c>
      <c r="O5" s="112"/>
      <c r="P5" s="112"/>
      <c r="Q5" s="112"/>
      <c r="R5" s="112"/>
      <c r="S5" s="112"/>
      <c r="T5" s="112"/>
      <c r="U5" s="112"/>
      <c r="V5" s="111"/>
      <c r="W5" s="109" t="s">
        <v>257</v>
      </c>
      <c r="X5" s="110"/>
      <c r="Y5" s="110"/>
      <c r="Z5" s="110"/>
      <c r="AA5" s="111"/>
      <c r="AB5" s="109" t="s">
        <v>259</v>
      </c>
      <c r="AC5" s="110"/>
      <c r="AD5" s="110"/>
      <c r="AE5" s="110"/>
      <c r="AF5" s="110"/>
      <c r="AG5" s="110"/>
      <c r="AH5" s="110"/>
      <c r="AI5" s="111"/>
    </row>
    <row r="6" spans="1:52" customFormat="1" ht="11.1" customHeight="1">
      <c r="A6" s="92"/>
      <c r="B6" s="86"/>
      <c r="C6" s="86"/>
      <c r="D6" s="86"/>
      <c r="E6" s="86"/>
      <c r="F6" s="86"/>
      <c r="G6" s="86"/>
      <c r="H6" s="86"/>
      <c r="I6" s="86"/>
      <c r="J6" s="86"/>
      <c r="K6" s="86"/>
      <c r="L6" s="86"/>
      <c r="M6" s="86"/>
      <c r="N6" s="86"/>
      <c r="S6" s="86"/>
      <c r="Y6" s="86"/>
      <c r="AE6" s="86"/>
    </row>
    <row r="7" spans="1:52" customFormat="1" ht="15" customHeight="1">
      <c r="A7" s="93"/>
      <c r="B7" s="94"/>
      <c r="C7" s="94"/>
      <c r="D7" s="94"/>
      <c r="E7" s="94"/>
      <c r="F7" s="94"/>
      <c r="G7" s="95"/>
      <c r="H7" s="140" t="s">
        <v>21</v>
      </c>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1"/>
    </row>
    <row r="8" spans="1:52" customFormat="1" ht="21" customHeight="1">
      <c r="A8" s="96"/>
      <c r="B8" s="97"/>
      <c r="C8" s="97"/>
      <c r="D8" s="97"/>
      <c r="E8" s="97"/>
      <c r="F8" s="97"/>
      <c r="G8" s="97"/>
      <c r="H8" s="109" t="s">
        <v>253</v>
      </c>
      <c r="I8" s="110"/>
      <c r="J8" s="110"/>
      <c r="K8" s="110"/>
      <c r="L8" s="110"/>
      <c r="M8" s="110"/>
      <c r="N8" s="110"/>
      <c r="O8" s="110"/>
      <c r="P8" s="110"/>
      <c r="Q8" s="110"/>
      <c r="R8" s="110"/>
      <c r="S8" s="110"/>
      <c r="T8" s="110"/>
      <c r="U8" s="110"/>
      <c r="V8" s="111"/>
      <c r="W8" s="154" t="s">
        <v>252</v>
      </c>
      <c r="X8" s="155"/>
      <c r="Y8" s="155"/>
      <c r="Z8" s="155"/>
      <c r="AA8" s="155"/>
      <c r="AB8" s="155"/>
      <c r="AC8" s="155"/>
      <c r="AD8" s="155"/>
      <c r="AE8" s="155"/>
      <c r="AF8" s="155"/>
      <c r="AG8" s="155"/>
      <c r="AH8" s="155"/>
      <c r="AI8" s="156"/>
    </row>
    <row r="9" spans="1:52" customFormat="1" ht="21" customHeight="1">
      <c r="A9" s="86"/>
      <c r="B9" s="86"/>
      <c r="C9" s="86"/>
      <c r="D9" s="86"/>
      <c r="E9" s="86"/>
      <c r="F9" s="86"/>
      <c r="G9" s="86"/>
      <c r="H9" s="109" t="s">
        <v>254</v>
      </c>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1"/>
    </row>
    <row r="10" spans="1:52" customFormat="1" ht="21" customHeight="1">
      <c r="A10" s="18"/>
      <c r="B10" s="18"/>
      <c r="C10" s="18"/>
      <c r="D10" s="18"/>
      <c r="E10" s="18"/>
      <c r="F10" s="18"/>
      <c r="G10" s="18"/>
      <c r="H10" s="83"/>
      <c r="I10" s="82"/>
      <c r="J10" s="82"/>
      <c r="K10" s="82"/>
      <c r="L10" s="82"/>
      <c r="M10" s="82"/>
      <c r="N10" s="82"/>
      <c r="O10" s="82"/>
      <c r="P10" s="82"/>
      <c r="Q10" s="82"/>
      <c r="R10" s="82"/>
      <c r="S10" s="82"/>
      <c r="T10" s="82"/>
      <c r="U10" s="82"/>
      <c r="V10" s="82"/>
      <c r="W10" s="83"/>
      <c r="X10" s="82"/>
      <c r="Y10" s="82"/>
      <c r="Z10" s="82"/>
      <c r="AA10" s="82"/>
      <c r="AB10" s="82"/>
      <c r="AC10" s="82"/>
      <c r="AD10" s="82"/>
      <c r="AE10" s="82"/>
      <c r="AF10" s="82"/>
      <c r="AG10" s="82"/>
      <c r="AH10" s="82"/>
      <c r="AI10" s="82"/>
    </row>
    <row r="11" spans="1:52" ht="13.8" thickBot="1">
      <c r="AF11" s="33"/>
      <c r="AG11" s="33"/>
      <c r="AH11" s="33"/>
      <c r="AI11" s="33"/>
      <c r="AJ11" s="33"/>
      <c r="AK11" s="33"/>
      <c r="AL11" s="33"/>
      <c r="AM11" s="33"/>
      <c r="AN11" s="33"/>
      <c r="AO11" s="33"/>
      <c r="AP11" s="33"/>
      <c r="AQ11" s="33"/>
      <c r="AR11" s="33"/>
      <c r="AS11" s="33"/>
      <c r="AT11" s="33"/>
      <c r="AU11" s="33"/>
      <c r="AV11" s="33"/>
      <c r="AW11" s="10"/>
      <c r="AX11" s="10"/>
      <c r="AY11" s="10"/>
      <c r="AZ11" s="10"/>
    </row>
    <row r="12" spans="1:52" ht="24.6" thickBot="1">
      <c r="A12" s="52" t="s">
        <v>142</v>
      </c>
      <c r="B12" s="1" t="s">
        <v>1</v>
      </c>
      <c r="C12" s="1" t="s">
        <v>2</v>
      </c>
      <c r="D12" s="52" t="s">
        <v>144</v>
      </c>
      <c r="E12" s="1" t="s">
        <v>1</v>
      </c>
      <c r="F12" s="1" t="s">
        <v>2</v>
      </c>
      <c r="G12" s="52" t="s">
        <v>143</v>
      </c>
      <c r="H12" s="1" t="s">
        <v>1</v>
      </c>
      <c r="I12" s="1" t="s">
        <v>2</v>
      </c>
      <c r="L12" s="28">
        <f>IF(ISBLANK(K12),L11,K12)</f>
        <v>0</v>
      </c>
      <c r="M12" s="29"/>
      <c r="N12" s="29"/>
      <c r="O12" s="29"/>
      <c r="P12" s="29"/>
      <c r="Q12" s="29"/>
      <c r="R12" s="29"/>
      <c r="S12" s="29"/>
      <c r="T12" s="29"/>
      <c r="U12" s="29"/>
      <c r="V12" s="29"/>
      <c r="W12" s="29"/>
      <c r="X12" s="29"/>
      <c r="Y12" s="29"/>
      <c r="Z12" s="29"/>
      <c r="AA12" s="29"/>
      <c r="AB12" s="29"/>
      <c r="AC12" s="29"/>
      <c r="AD12" s="28" t="str">
        <f>IF(COUNTA(M12:AC12)&gt;0,ROW()-11,"")</f>
        <v/>
      </c>
      <c r="AE12" s="28" t="str">
        <f>IF(COUNTA(M12:M44)&gt;0,ROW()-11,"")</f>
        <v/>
      </c>
      <c r="AF12" s="10"/>
      <c r="AG12" s="10"/>
      <c r="AH12" s="10"/>
      <c r="AI12" s="10"/>
      <c r="AJ12" s="34"/>
      <c r="AK12" s="34"/>
      <c r="AL12" s="34"/>
      <c r="AM12" s="34"/>
      <c r="AN12" s="34"/>
      <c r="AO12" s="34"/>
      <c r="AP12" s="34"/>
      <c r="AQ12" s="34"/>
      <c r="AR12" s="34"/>
      <c r="AS12" s="34"/>
      <c r="AT12" s="34"/>
      <c r="AU12" s="34"/>
      <c r="AV12" s="34"/>
      <c r="AW12" s="34"/>
      <c r="AX12" s="34"/>
      <c r="AY12" s="34"/>
      <c r="AZ12" s="34"/>
    </row>
    <row r="13" spans="1:52">
      <c r="A13" s="49" t="s">
        <v>145</v>
      </c>
      <c r="B13" s="40">
        <f>'autoZ data'!D2</f>
        <v>49</v>
      </c>
      <c r="C13" s="3">
        <v>17</v>
      </c>
      <c r="D13" s="49" t="s">
        <v>177</v>
      </c>
      <c r="E13" s="39">
        <f>'autoZ data'!D34</f>
        <v>46</v>
      </c>
      <c r="F13" s="3">
        <v>49</v>
      </c>
      <c r="G13" s="49" t="s">
        <v>209</v>
      </c>
      <c r="H13" s="39">
        <f>'autoZ data'!D66</f>
        <v>41</v>
      </c>
      <c r="I13" s="4">
        <v>81</v>
      </c>
      <c r="L13" s="28">
        <f t="shared" ref="L13:L44" si="0">IF(ISBLANK(K13),L12,K13)</f>
        <v>0</v>
      </c>
      <c r="M13" s="29"/>
      <c r="N13" s="29"/>
      <c r="O13" s="29"/>
      <c r="P13" s="29"/>
      <c r="Q13" s="29"/>
      <c r="R13" s="29"/>
      <c r="S13" s="29"/>
      <c r="T13" s="29"/>
      <c r="U13" s="29"/>
      <c r="V13" s="29"/>
      <c r="W13" s="29"/>
      <c r="X13" s="29"/>
      <c r="Y13" s="29"/>
      <c r="Z13" s="29"/>
      <c r="AA13" s="29"/>
      <c r="AB13" s="29"/>
      <c r="AC13" s="29"/>
      <c r="AD13" s="28" t="str">
        <f t="shared" ref="AD13:AD44" si="1">IF(COUNTA(M13:AC13)&gt;0,ROW()-11,"")</f>
        <v/>
      </c>
      <c r="AE13" s="28" t="str">
        <f>IF(COUNTA(N12:N44)&gt;0,ROW()-11,"")</f>
        <v/>
      </c>
      <c r="AF13" s="10"/>
      <c r="AG13" s="10"/>
      <c r="AH13" s="10"/>
      <c r="AI13" s="10"/>
      <c r="AJ13" s="34"/>
      <c r="AK13" s="34"/>
      <c r="AL13" s="34"/>
      <c r="AM13" s="34"/>
      <c r="AN13" s="34"/>
      <c r="AO13" s="34"/>
      <c r="AP13" s="34"/>
      <c r="AQ13" s="34"/>
      <c r="AR13" s="34"/>
      <c r="AS13" s="34"/>
      <c r="AT13" s="34"/>
      <c r="AU13" s="34"/>
      <c r="AV13" s="34"/>
      <c r="AW13" s="34"/>
      <c r="AX13" s="34"/>
      <c r="AY13" s="34"/>
      <c r="AZ13" s="34"/>
    </row>
    <row r="14" spans="1:52">
      <c r="A14" s="50" t="s">
        <v>146</v>
      </c>
      <c r="B14" s="5">
        <f>'autoZ data'!D3</f>
        <v>45</v>
      </c>
      <c r="C14" s="5">
        <v>1</v>
      </c>
      <c r="D14" s="50" t="s">
        <v>178</v>
      </c>
      <c r="E14" s="6">
        <f>'autoZ data'!D35</f>
        <v>46</v>
      </c>
      <c r="F14" s="5">
        <v>33</v>
      </c>
      <c r="G14" s="50" t="s">
        <v>210</v>
      </c>
      <c r="H14" s="6">
        <f>'autoZ data'!D67</f>
        <v>46</v>
      </c>
      <c r="I14" s="6">
        <v>65</v>
      </c>
      <c r="L14" s="28">
        <f t="shared" si="0"/>
        <v>0</v>
      </c>
      <c r="M14" s="29"/>
      <c r="N14" s="29"/>
      <c r="O14" s="29"/>
      <c r="P14" s="29"/>
      <c r="Q14" s="29"/>
      <c r="R14" s="29"/>
      <c r="S14" s="29"/>
      <c r="T14" s="29"/>
      <c r="U14" s="29"/>
      <c r="V14" s="29"/>
      <c r="W14" s="29"/>
      <c r="X14" s="29"/>
      <c r="Y14" s="29"/>
      <c r="Z14" s="29"/>
      <c r="AA14" s="29"/>
      <c r="AB14" s="29"/>
      <c r="AC14" s="29"/>
      <c r="AD14" s="28" t="str">
        <f t="shared" si="1"/>
        <v/>
      </c>
      <c r="AE14" s="28" t="str">
        <f>IF(COUNTA(O12:O44)&gt;0,ROW()-11,"")</f>
        <v/>
      </c>
      <c r="AF14" s="10"/>
      <c r="AG14" s="10"/>
      <c r="AH14" s="10"/>
      <c r="AI14" s="10"/>
      <c r="AJ14" s="34"/>
      <c r="AK14" s="34"/>
      <c r="AL14" s="34"/>
      <c r="AM14" s="34"/>
      <c r="AN14" s="34"/>
      <c r="AO14" s="34"/>
      <c r="AP14" s="34"/>
      <c r="AQ14" s="34"/>
      <c r="AR14" s="34"/>
      <c r="AS14" s="34"/>
      <c r="AT14" s="34"/>
      <c r="AU14" s="34"/>
      <c r="AV14" s="34"/>
      <c r="AW14" s="34"/>
      <c r="AX14" s="34"/>
      <c r="AY14" s="34"/>
      <c r="AZ14" s="34"/>
    </row>
    <row r="15" spans="1:52">
      <c r="A15" s="50" t="s">
        <v>147</v>
      </c>
      <c r="B15" s="5">
        <f>'autoZ data'!D4</f>
        <v>36</v>
      </c>
      <c r="C15" s="5">
        <v>18</v>
      </c>
      <c r="D15" s="50" t="s">
        <v>179</v>
      </c>
      <c r="E15" s="6">
        <f>'autoZ data'!D36</f>
        <v>47</v>
      </c>
      <c r="F15" s="5">
        <v>50</v>
      </c>
      <c r="G15" s="50" t="s">
        <v>211</v>
      </c>
      <c r="H15" s="6">
        <f>'autoZ data'!D68</f>
        <v>37</v>
      </c>
      <c r="I15" s="6">
        <v>82</v>
      </c>
      <c r="L15" s="28">
        <f t="shared" si="0"/>
        <v>0</v>
      </c>
      <c r="M15" s="29"/>
      <c r="N15" s="29"/>
      <c r="O15" s="29"/>
      <c r="P15" s="29"/>
      <c r="Q15" s="29"/>
      <c r="R15" s="29"/>
      <c r="S15" s="29"/>
      <c r="T15" s="29"/>
      <c r="U15" s="29"/>
      <c r="V15" s="29"/>
      <c r="W15" s="29"/>
      <c r="X15" s="29"/>
      <c r="Y15" s="29"/>
      <c r="Z15" s="29"/>
      <c r="AA15" s="29"/>
      <c r="AB15" s="29"/>
      <c r="AC15" s="29"/>
      <c r="AD15" s="28" t="str">
        <f t="shared" si="1"/>
        <v/>
      </c>
      <c r="AE15" s="28">
        <f>IF(COUNTA(P12:P44)&gt;0,ROW()-11,"")</f>
        <v>4</v>
      </c>
      <c r="AF15" s="10"/>
      <c r="AG15" s="10"/>
      <c r="AH15" s="10"/>
      <c r="AI15" s="10"/>
      <c r="AJ15" s="34"/>
      <c r="AK15" s="34"/>
      <c r="AL15" s="34"/>
      <c r="AM15" s="34"/>
      <c r="AN15" s="34"/>
      <c r="AO15" s="34"/>
      <c r="AP15" s="34"/>
      <c r="AQ15" s="34"/>
      <c r="AR15" s="34"/>
      <c r="AS15" s="34"/>
      <c r="AT15" s="34"/>
      <c r="AU15" s="34"/>
      <c r="AV15" s="34"/>
      <c r="AW15" s="34"/>
      <c r="AX15" s="34"/>
      <c r="AY15" s="34"/>
      <c r="AZ15" s="34"/>
    </row>
    <row r="16" spans="1:52">
      <c r="A16" s="50" t="s">
        <v>148</v>
      </c>
      <c r="B16" s="5">
        <f>'autoZ data'!D5</f>
        <v>42</v>
      </c>
      <c r="C16" s="5">
        <v>2</v>
      </c>
      <c r="D16" s="50" t="s">
        <v>180</v>
      </c>
      <c r="E16" s="6">
        <f>'autoZ data'!D37</f>
        <v>33</v>
      </c>
      <c r="F16" s="5">
        <v>34</v>
      </c>
      <c r="G16" s="50" t="s">
        <v>212</v>
      </c>
      <c r="H16" s="6">
        <f>'autoZ data'!D69</f>
        <v>37</v>
      </c>
      <c r="I16" s="6">
        <v>66</v>
      </c>
      <c r="K16" s="2">
        <v>1</v>
      </c>
      <c r="L16" s="28">
        <f t="shared" si="0"/>
        <v>1</v>
      </c>
      <c r="M16" s="29"/>
      <c r="N16" s="29"/>
      <c r="O16" s="29"/>
      <c r="P16" s="44"/>
      <c r="Q16" s="30">
        <v>88</v>
      </c>
      <c r="R16" s="30">
        <v>78</v>
      </c>
      <c r="S16" s="30">
        <v>68</v>
      </c>
      <c r="T16" s="30">
        <v>58</v>
      </c>
      <c r="U16" s="30">
        <v>48</v>
      </c>
      <c r="V16" s="30">
        <v>38</v>
      </c>
      <c r="W16" s="30">
        <v>28</v>
      </c>
      <c r="X16" s="30">
        <v>18</v>
      </c>
      <c r="Y16" s="44"/>
      <c r="Z16" s="29"/>
      <c r="AA16" s="29"/>
      <c r="AB16" s="29"/>
      <c r="AC16" s="29"/>
      <c r="AD16" s="28">
        <f t="shared" si="1"/>
        <v>5</v>
      </c>
      <c r="AE16" s="28">
        <f>IF(COUNTA(Q12:Q44)&gt;0,ROW()-11,"")</f>
        <v>5</v>
      </c>
      <c r="AF16" s="10"/>
      <c r="AG16" s="10"/>
      <c r="AH16" s="10"/>
      <c r="AI16" s="10">
        <v>1</v>
      </c>
      <c r="AJ16" s="34"/>
      <c r="AK16" s="34"/>
      <c r="AL16" s="44"/>
      <c r="AM16" s="45">
        <f>H27</f>
        <v>47</v>
      </c>
      <c r="AN16" s="45">
        <f>H40</f>
        <v>46</v>
      </c>
      <c r="AO16" s="45">
        <f>H20</f>
        <v>46</v>
      </c>
      <c r="AP16" s="45">
        <f>E31</f>
        <v>42</v>
      </c>
      <c r="AQ16" s="45">
        <f>E44</f>
        <v>32</v>
      </c>
      <c r="AR16" s="45">
        <f>E24</f>
        <v>43</v>
      </c>
      <c r="AS16" s="45">
        <f>B35</f>
        <v>49</v>
      </c>
      <c r="AT16" s="45">
        <f>B15</f>
        <v>36</v>
      </c>
      <c r="AU16" s="44"/>
      <c r="AV16" s="34"/>
      <c r="AW16" s="34"/>
      <c r="AX16" s="34"/>
      <c r="AY16" s="34"/>
      <c r="AZ16" s="34"/>
    </row>
    <row r="17" spans="1:53">
      <c r="A17" s="50" t="s">
        <v>149</v>
      </c>
      <c r="B17" s="5">
        <f>'autoZ data'!D6</f>
        <v>49</v>
      </c>
      <c r="C17" s="5">
        <v>19</v>
      </c>
      <c r="D17" s="50" t="s">
        <v>181</v>
      </c>
      <c r="E17" s="6">
        <f>'autoZ data'!D38</f>
        <v>36</v>
      </c>
      <c r="F17" s="5">
        <v>51</v>
      </c>
      <c r="G17" s="50" t="s">
        <v>213</v>
      </c>
      <c r="H17" s="6">
        <f>'autoZ data'!D70</f>
        <v>47</v>
      </c>
      <c r="I17" s="6">
        <v>83</v>
      </c>
      <c r="L17" s="28">
        <f t="shared" si="0"/>
        <v>1</v>
      </c>
      <c r="M17" s="29"/>
      <c r="N17" s="29"/>
      <c r="O17" s="29"/>
      <c r="P17" s="30">
        <v>96</v>
      </c>
      <c r="Q17" s="30">
        <v>87</v>
      </c>
      <c r="R17" s="30">
        <v>77</v>
      </c>
      <c r="S17" s="30">
        <v>67</v>
      </c>
      <c r="T17" s="30">
        <v>57</v>
      </c>
      <c r="U17" s="30">
        <v>47</v>
      </c>
      <c r="V17" s="30">
        <v>37</v>
      </c>
      <c r="W17" s="30">
        <v>27</v>
      </c>
      <c r="X17" s="30">
        <v>17</v>
      </c>
      <c r="Y17" s="30">
        <v>8</v>
      </c>
      <c r="Z17" s="29"/>
      <c r="AA17" s="29"/>
      <c r="AB17" s="29"/>
      <c r="AC17" s="29"/>
      <c r="AD17" s="28">
        <f t="shared" si="1"/>
        <v>6</v>
      </c>
      <c r="AE17" s="28">
        <f>IF(COUNTA(R12:R44)&gt;0,ROW()-11,"")</f>
        <v>6</v>
      </c>
      <c r="AF17" s="10"/>
      <c r="AG17" s="10"/>
      <c r="AH17" s="10"/>
      <c r="AI17" s="10"/>
      <c r="AJ17" s="34"/>
      <c r="AK17" s="34"/>
      <c r="AL17" s="45">
        <f>H43</f>
        <v>30</v>
      </c>
      <c r="AM17" s="45">
        <f>H25</f>
        <v>46</v>
      </c>
      <c r="AN17" s="45">
        <f>H38</f>
        <v>30</v>
      </c>
      <c r="AO17" s="45">
        <f>H18</f>
        <v>35</v>
      </c>
      <c r="AP17" s="45">
        <f>E29</f>
        <v>32</v>
      </c>
      <c r="AQ17" s="45">
        <f>E42</f>
        <v>30</v>
      </c>
      <c r="AR17" s="45">
        <f>E22</f>
        <v>48</v>
      </c>
      <c r="AS17" s="45">
        <f>B33</f>
        <v>43</v>
      </c>
      <c r="AT17" s="46">
        <f>B13</f>
        <v>49</v>
      </c>
      <c r="AU17" s="45">
        <f>B28</f>
        <v>47</v>
      </c>
      <c r="AV17" s="34"/>
      <c r="AW17" s="34"/>
      <c r="AX17" s="34"/>
      <c r="AY17" s="34"/>
      <c r="AZ17" s="34"/>
    </row>
    <row r="18" spans="1:53">
      <c r="A18" s="50" t="s">
        <v>150</v>
      </c>
      <c r="B18" s="5">
        <f>'autoZ data'!D7</f>
        <v>30</v>
      </c>
      <c r="C18" s="5">
        <v>3</v>
      </c>
      <c r="D18" s="50" t="s">
        <v>182</v>
      </c>
      <c r="E18" s="6">
        <f>'autoZ data'!D39</f>
        <v>50</v>
      </c>
      <c r="F18" s="5">
        <v>35</v>
      </c>
      <c r="G18" s="50" t="s">
        <v>214</v>
      </c>
      <c r="H18" s="6">
        <f>'autoZ data'!D71</f>
        <v>35</v>
      </c>
      <c r="I18" s="6">
        <v>67</v>
      </c>
      <c r="L18" s="28">
        <f t="shared" si="0"/>
        <v>1</v>
      </c>
      <c r="M18" s="29"/>
      <c r="N18" s="29"/>
      <c r="O18" s="29"/>
      <c r="P18" s="30">
        <v>95</v>
      </c>
      <c r="Q18" s="30">
        <v>86</v>
      </c>
      <c r="R18" s="30">
        <v>76</v>
      </c>
      <c r="S18" s="30">
        <v>66</v>
      </c>
      <c r="T18" s="30">
        <v>56</v>
      </c>
      <c r="U18" s="30">
        <v>46</v>
      </c>
      <c r="V18" s="30">
        <v>36</v>
      </c>
      <c r="W18" s="30">
        <v>26</v>
      </c>
      <c r="X18" s="30">
        <v>16</v>
      </c>
      <c r="Y18" s="30">
        <v>7</v>
      </c>
      <c r="Z18" s="29"/>
      <c r="AA18" s="29"/>
      <c r="AB18" s="29"/>
      <c r="AC18" s="29"/>
      <c r="AD18" s="28">
        <f t="shared" si="1"/>
        <v>7</v>
      </c>
      <c r="AE18" s="28">
        <f>IF(COUNTA(S12:S44)&gt;0,ROW()-11,"")</f>
        <v>7</v>
      </c>
      <c r="AF18" s="10"/>
      <c r="AG18" s="10"/>
      <c r="AH18" s="10"/>
      <c r="AI18" s="10"/>
      <c r="AJ18" s="34"/>
      <c r="AK18" s="34"/>
      <c r="AL18" s="45">
        <f>H41</f>
        <v>43</v>
      </c>
      <c r="AM18" s="45">
        <f>H23</f>
        <v>46</v>
      </c>
      <c r="AN18" s="45">
        <f>H36</f>
        <v>45</v>
      </c>
      <c r="AO18" s="45">
        <f>H16</f>
        <v>37</v>
      </c>
      <c r="AP18" s="45">
        <f>E27</f>
        <v>46</v>
      </c>
      <c r="AQ18" s="45">
        <f>E40</f>
        <v>45</v>
      </c>
      <c r="AR18" s="45">
        <f>E20</f>
        <v>34</v>
      </c>
      <c r="AS18" s="45">
        <f>B31</f>
        <v>44</v>
      </c>
      <c r="AT18" s="45">
        <f>B44</f>
        <v>44</v>
      </c>
      <c r="AU18" s="45">
        <f>B26</f>
        <v>33</v>
      </c>
      <c r="AV18" s="34"/>
      <c r="AW18" s="34"/>
      <c r="AX18" s="34"/>
      <c r="AY18" s="34"/>
      <c r="AZ18" s="34"/>
    </row>
    <row r="19" spans="1:53">
      <c r="A19" s="50" t="s">
        <v>151</v>
      </c>
      <c r="B19" s="5">
        <f>'autoZ data'!D8</f>
        <v>49</v>
      </c>
      <c r="C19" s="5">
        <v>20</v>
      </c>
      <c r="D19" s="50" t="s">
        <v>183</v>
      </c>
      <c r="E19" s="6">
        <f>'autoZ data'!D40</f>
        <v>50</v>
      </c>
      <c r="F19" s="5">
        <v>52</v>
      </c>
      <c r="G19" s="50" t="s">
        <v>215</v>
      </c>
      <c r="H19" s="6">
        <f>'autoZ data'!D72</f>
        <v>35</v>
      </c>
      <c r="I19" s="6">
        <v>84</v>
      </c>
      <c r="L19" s="28">
        <f t="shared" si="0"/>
        <v>1</v>
      </c>
      <c r="M19" s="29"/>
      <c r="N19" s="29"/>
      <c r="O19" s="29"/>
      <c r="P19" s="30">
        <v>94</v>
      </c>
      <c r="Q19" s="30">
        <v>85</v>
      </c>
      <c r="R19" s="30">
        <v>75</v>
      </c>
      <c r="S19" s="30">
        <v>65</v>
      </c>
      <c r="T19" s="30">
        <v>55</v>
      </c>
      <c r="U19" s="30">
        <v>45</v>
      </c>
      <c r="V19" s="30">
        <v>35</v>
      </c>
      <c r="W19" s="30">
        <v>25</v>
      </c>
      <c r="X19" s="30">
        <v>15</v>
      </c>
      <c r="Y19" s="30">
        <v>6</v>
      </c>
      <c r="Z19" s="29"/>
      <c r="AA19" s="29"/>
      <c r="AB19" s="29"/>
      <c r="AC19" s="29"/>
      <c r="AD19" s="28">
        <f t="shared" si="1"/>
        <v>8</v>
      </c>
      <c r="AE19" s="28">
        <f>IF(COUNTA(T12:T44)&gt;0,ROW()-11,"")</f>
        <v>8</v>
      </c>
      <c r="AF19" s="10"/>
      <c r="AG19" s="10"/>
      <c r="AH19" s="10"/>
      <c r="AI19" s="10"/>
      <c r="AJ19" s="34"/>
      <c r="AK19" s="34"/>
      <c r="AL19" s="45">
        <f>H39</f>
        <v>47</v>
      </c>
      <c r="AM19" s="45">
        <f>H21</f>
        <v>44</v>
      </c>
      <c r="AN19" s="45">
        <f>H34</f>
        <v>55</v>
      </c>
      <c r="AO19" s="46">
        <f>H14</f>
        <v>46</v>
      </c>
      <c r="AP19" s="45">
        <f>E25</f>
        <v>46</v>
      </c>
      <c r="AQ19" s="45">
        <f>E38</f>
        <v>38</v>
      </c>
      <c r="AR19" s="45">
        <f>E18</f>
        <v>50</v>
      </c>
      <c r="AS19" s="45">
        <f>B29</f>
        <v>46</v>
      </c>
      <c r="AT19" s="45">
        <f>B42</f>
        <v>38</v>
      </c>
      <c r="AU19" s="45">
        <f>B24</f>
        <v>48</v>
      </c>
      <c r="AV19" s="34"/>
      <c r="AW19" s="34"/>
      <c r="AX19" s="34"/>
      <c r="AY19" s="34"/>
      <c r="AZ19" s="34"/>
    </row>
    <row r="20" spans="1:53">
      <c r="A20" s="50" t="s">
        <v>152</v>
      </c>
      <c r="B20" s="5">
        <f>'autoZ data'!D9</f>
        <v>42</v>
      </c>
      <c r="C20" s="5">
        <v>4</v>
      </c>
      <c r="D20" s="50" t="s">
        <v>184</v>
      </c>
      <c r="E20" s="6">
        <f>'autoZ data'!D41</f>
        <v>34</v>
      </c>
      <c r="F20" s="5">
        <v>36</v>
      </c>
      <c r="G20" s="50" t="s">
        <v>216</v>
      </c>
      <c r="H20" s="6">
        <f>'autoZ data'!D73</f>
        <v>46</v>
      </c>
      <c r="I20" s="6">
        <v>68</v>
      </c>
      <c r="L20" s="28">
        <f t="shared" si="0"/>
        <v>1</v>
      </c>
      <c r="M20" s="29"/>
      <c r="N20" s="29"/>
      <c r="O20" s="29"/>
      <c r="P20" s="30">
        <v>93</v>
      </c>
      <c r="Q20" s="30">
        <v>84</v>
      </c>
      <c r="R20" s="30">
        <v>74</v>
      </c>
      <c r="S20" s="30">
        <v>64</v>
      </c>
      <c r="T20" s="30">
        <v>54</v>
      </c>
      <c r="U20" s="30">
        <v>44</v>
      </c>
      <c r="V20" s="30">
        <v>34</v>
      </c>
      <c r="W20" s="30">
        <v>24</v>
      </c>
      <c r="X20" s="30">
        <v>14</v>
      </c>
      <c r="Y20" s="30">
        <v>5</v>
      </c>
      <c r="Z20" s="29"/>
      <c r="AA20" s="29"/>
      <c r="AB20" s="29"/>
      <c r="AC20" s="29"/>
      <c r="AD20" s="28">
        <f t="shared" si="1"/>
        <v>9</v>
      </c>
      <c r="AE20" s="28">
        <f>IF(COUNTA(U12:U44)&gt;0,ROW()-11,"")</f>
        <v>9</v>
      </c>
      <c r="AF20" s="41" t="s">
        <v>39</v>
      </c>
      <c r="AG20" s="10"/>
      <c r="AH20" s="10"/>
      <c r="AI20" s="10"/>
      <c r="AJ20" s="34"/>
      <c r="AK20" s="34"/>
      <c r="AL20" s="45">
        <f>H37</f>
        <v>48</v>
      </c>
      <c r="AM20" s="45">
        <f>H19</f>
        <v>35</v>
      </c>
      <c r="AN20" s="45">
        <f>H32</f>
        <v>40</v>
      </c>
      <c r="AO20" s="45">
        <f>E43</f>
        <v>50</v>
      </c>
      <c r="AP20" s="45">
        <f>E23</f>
        <v>40</v>
      </c>
      <c r="AQ20" s="45">
        <f>E36</f>
        <v>40</v>
      </c>
      <c r="AR20" s="45">
        <f>E16</f>
        <v>33</v>
      </c>
      <c r="AS20" s="45">
        <f>B27</f>
        <v>35</v>
      </c>
      <c r="AT20" s="45">
        <f>B40</f>
        <v>32</v>
      </c>
      <c r="AU20" s="45">
        <f>B22</f>
        <v>48</v>
      </c>
      <c r="AV20" s="34"/>
      <c r="AW20" s="34"/>
      <c r="AX20" s="34"/>
      <c r="AY20" s="34"/>
      <c r="AZ20" s="34"/>
      <c r="BA20" s="41" t="s">
        <v>39</v>
      </c>
    </row>
    <row r="21" spans="1:53">
      <c r="A21" s="50" t="s">
        <v>153</v>
      </c>
      <c r="B21" s="5">
        <f>'autoZ data'!D10</f>
        <v>48</v>
      </c>
      <c r="C21" s="5">
        <v>21</v>
      </c>
      <c r="D21" s="50" t="s">
        <v>185</v>
      </c>
      <c r="E21" s="6">
        <f>'autoZ data'!D42</f>
        <v>46</v>
      </c>
      <c r="F21" s="5">
        <v>53</v>
      </c>
      <c r="G21" s="50" t="s">
        <v>217</v>
      </c>
      <c r="H21" s="6">
        <f>'autoZ data'!D74</f>
        <v>44</v>
      </c>
      <c r="I21" s="6">
        <v>85</v>
      </c>
      <c r="L21" s="28">
        <f t="shared" si="0"/>
        <v>1</v>
      </c>
      <c r="M21" s="29"/>
      <c r="N21" s="29"/>
      <c r="O21" s="29"/>
      <c r="P21" s="30">
        <v>92</v>
      </c>
      <c r="Q21" s="30">
        <v>83</v>
      </c>
      <c r="R21" s="30">
        <v>73</v>
      </c>
      <c r="S21" s="30">
        <v>63</v>
      </c>
      <c r="T21" s="30">
        <v>53</v>
      </c>
      <c r="U21" s="30">
        <v>43</v>
      </c>
      <c r="V21" s="30">
        <v>33</v>
      </c>
      <c r="W21" s="30">
        <v>23</v>
      </c>
      <c r="X21" s="30">
        <v>13</v>
      </c>
      <c r="Y21" s="30">
        <v>4</v>
      </c>
      <c r="Z21" s="29"/>
      <c r="AA21" s="29"/>
      <c r="AB21" s="29"/>
      <c r="AC21" s="29"/>
      <c r="AD21" s="28">
        <f t="shared" si="1"/>
        <v>10</v>
      </c>
      <c r="AE21" s="28">
        <f>IF(COUNTA(V12:V44)&gt;0,ROW()-11,"")</f>
        <v>10</v>
      </c>
      <c r="AF21" s="10"/>
      <c r="AG21" s="10"/>
      <c r="AH21" s="10"/>
      <c r="AI21" s="10"/>
      <c r="AJ21" s="34"/>
      <c r="AK21" s="34"/>
      <c r="AL21" s="45">
        <f>H35</f>
        <v>46</v>
      </c>
      <c r="AM21" s="45">
        <f>H17</f>
        <v>47</v>
      </c>
      <c r="AN21" s="45">
        <f>H30</f>
        <v>31</v>
      </c>
      <c r="AO21" s="45">
        <f>E41</f>
        <v>45</v>
      </c>
      <c r="AP21" s="45">
        <f>E21</f>
        <v>46</v>
      </c>
      <c r="AQ21" s="45">
        <f>E34</f>
        <v>47</v>
      </c>
      <c r="AR21" s="46">
        <f>E14</f>
        <v>46</v>
      </c>
      <c r="AS21" s="45">
        <f>B25</f>
        <v>46</v>
      </c>
      <c r="AT21" s="45">
        <f>B38</f>
        <v>35</v>
      </c>
      <c r="AU21" s="45">
        <f>B20</f>
        <v>42</v>
      </c>
      <c r="AV21" s="34"/>
      <c r="AW21" s="34"/>
      <c r="AX21" s="34"/>
      <c r="AY21" s="34"/>
      <c r="AZ21" s="34"/>
    </row>
    <row r="22" spans="1:53">
      <c r="A22" s="50" t="s">
        <v>154</v>
      </c>
      <c r="B22" s="5">
        <f>'autoZ data'!D11</f>
        <v>48</v>
      </c>
      <c r="C22" s="5">
        <v>5</v>
      </c>
      <c r="D22" s="50" t="s">
        <v>186</v>
      </c>
      <c r="E22" s="6">
        <f>'autoZ data'!D43</f>
        <v>48</v>
      </c>
      <c r="F22" s="5">
        <v>37</v>
      </c>
      <c r="G22" s="50" t="s">
        <v>218</v>
      </c>
      <c r="H22" s="6">
        <f>'autoZ data'!D75</f>
        <v>47</v>
      </c>
      <c r="I22" s="6">
        <v>69</v>
      </c>
      <c r="L22" s="28">
        <f t="shared" si="0"/>
        <v>1</v>
      </c>
      <c r="M22" s="29"/>
      <c r="N22" s="29"/>
      <c r="O22" s="29"/>
      <c r="P22" s="30">
        <v>91</v>
      </c>
      <c r="Q22" s="30">
        <v>82</v>
      </c>
      <c r="R22" s="30">
        <v>72</v>
      </c>
      <c r="S22" s="30">
        <v>62</v>
      </c>
      <c r="T22" s="30">
        <v>52</v>
      </c>
      <c r="U22" s="30">
        <v>42</v>
      </c>
      <c r="V22" s="30">
        <v>32</v>
      </c>
      <c r="W22" s="30">
        <v>22</v>
      </c>
      <c r="X22" s="30">
        <v>12</v>
      </c>
      <c r="Y22" s="30">
        <v>3</v>
      </c>
      <c r="Z22" s="29"/>
      <c r="AA22" s="29"/>
      <c r="AB22" s="29"/>
      <c r="AC22" s="29"/>
      <c r="AD22" s="28">
        <f t="shared" si="1"/>
        <v>11</v>
      </c>
      <c r="AE22" s="28">
        <f>IF(COUNTA(W12:W44)&gt;0,ROW()-11,"")</f>
        <v>11</v>
      </c>
      <c r="AF22" s="10"/>
      <c r="AG22" s="10"/>
      <c r="AH22" s="10"/>
      <c r="AI22" s="10"/>
      <c r="AJ22" s="34"/>
      <c r="AK22" s="34"/>
      <c r="AL22" s="45">
        <f>H33</f>
        <v>47</v>
      </c>
      <c r="AM22" s="45">
        <f>H15</f>
        <v>37</v>
      </c>
      <c r="AN22" s="45">
        <f>H28</f>
        <v>52</v>
      </c>
      <c r="AO22" s="45">
        <f>E39</f>
        <v>45</v>
      </c>
      <c r="AP22" s="45">
        <f>E19</f>
        <v>50</v>
      </c>
      <c r="AQ22" s="45">
        <f>E32</f>
        <v>38</v>
      </c>
      <c r="AR22" s="45">
        <f>B43</f>
        <v>34</v>
      </c>
      <c r="AS22" s="45">
        <f>B23</f>
        <v>42</v>
      </c>
      <c r="AT22" s="45">
        <f>B36</f>
        <v>34</v>
      </c>
      <c r="AU22" s="45">
        <f>B18</f>
        <v>30</v>
      </c>
      <c r="AV22" s="34"/>
      <c r="AW22" s="34"/>
      <c r="AX22" s="34"/>
      <c r="AY22" s="34"/>
      <c r="AZ22" s="34"/>
    </row>
    <row r="23" spans="1:53">
      <c r="A23" s="50" t="s">
        <v>155</v>
      </c>
      <c r="B23" s="5">
        <f>'autoZ data'!D12</f>
        <v>42</v>
      </c>
      <c r="C23" s="5">
        <v>22</v>
      </c>
      <c r="D23" s="50" t="s">
        <v>187</v>
      </c>
      <c r="E23" s="6">
        <f>'autoZ data'!D44</f>
        <v>40</v>
      </c>
      <c r="F23" s="5">
        <v>54</v>
      </c>
      <c r="G23" s="50" t="s">
        <v>219</v>
      </c>
      <c r="H23" s="6">
        <f>'autoZ data'!D76</f>
        <v>46</v>
      </c>
      <c r="I23" s="6">
        <v>86</v>
      </c>
      <c r="L23" s="28">
        <f t="shared" si="0"/>
        <v>1</v>
      </c>
      <c r="M23" s="29"/>
      <c r="N23" s="29"/>
      <c r="O23" s="29"/>
      <c r="P23" s="30">
        <v>90</v>
      </c>
      <c r="Q23" s="30">
        <v>81</v>
      </c>
      <c r="R23" s="30">
        <v>71</v>
      </c>
      <c r="S23" s="30">
        <v>61</v>
      </c>
      <c r="T23" s="30">
        <v>51</v>
      </c>
      <c r="U23" s="30">
        <v>41</v>
      </c>
      <c r="V23" s="30">
        <v>31</v>
      </c>
      <c r="W23" s="30">
        <v>21</v>
      </c>
      <c r="X23" s="30">
        <v>11</v>
      </c>
      <c r="Y23" s="30">
        <v>2</v>
      </c>
      <c r="Z23" s="29"/>
      <c r="AA23" s="29"/>
      <c r="AB23" s="29"/>
      <c r="AC23" s="29"/>
      <c r="AD23" s="28">
        <f t="shared" si="1"/>
        <v>12</v>
      </c>
      <c r="AE23" s="28">
        <f>IF(COUNTA(X12:X44)&gt;0,ROW()-11,"")</f>
        <v>12</v>
      </c>
      <c r="AF23" s="10"/>
      <c r="AG23" s="10"/>
      <c r="AH23" s="10"/>
      <c r="AI23" s="10"/>
      <c r="AJ23" s="34"/>
      <c r="AK23" s="34"/>
      <c r="AL23" s="45">
        <f>H31</f>
        <v>46</v>
      </c>
      <c r="AM23" s="46">
        <f>H13</f>
        <v>41</v>
      </c>
      <c r="AN23" s="45">
        <f>H26</f>
        <v>45</v>
      </c>
      <c r="AO23" s="45">
        <f>E37</f>
        <v>45</v>
      </c>
      <c r="AP23" s="45">
        <f>E17</f>
        <v>36</v>
      </c>
      <c r="AQ23" s="45">
        <f>E30</f>
        <v>32</v>
      </c>
      <c r="AR23" s="45">
        <f>B41</f>
        <v>46</v>
      </c>
      <c r="AS23" s="45">
        <f>B21</f>
        <v>48</v>
      </c>
      <c r="AT23" s="45">
        <f>B34</f>
        <v>45</v>
      </c>
      <c r="AU23" s="45">
        <f>B16</f>
        <v>42</v>
      </c>
      <c r="AV23" s="34"/>
      <c r="AW23" s="34"/>
      <c r="AX23" s="34"/>
      <c r="AY23" s="34"/>
      <c r="AZ23" s="34"/>
    </row>
    <row r="24" spans="1:53">
      <c r="A24" s="50" t="s">
        <v>156</v>
      </c>
      <c r="B24" s="5">
        <f>'autoZ data'!D13</f>
        <v>48</v>
      </c>
      <c r="C24" s="5">
        <v>6</v>
      </c>
      <c r="D24" s="50" t="s">
        <v>188</v>
      </c>
      <c r="E24" s="6">
        <f>'autoZ data'!D45</f>
        <v>43</v>
      </c>
      <c r="F24" s="5">
        <v>38</v>
      </c>
      <c r="G24" s="50" t="s">
        <v>220</v>
      </c>
      <c r="H24" s="6">
        <f>'autoZ data'!D77</f>
        <v>34</v>
      </c>
      <c r="I24" s="6">
        <v>70</v>
      </c>
      <c r="L24" s="28">
        <f t="shared" si="0"/>
        <v>1</v>
      </c>
      <c r="M24" s="29"/>
      <c r="N24" s="29"/>
      <c r="O24" s="29"/>
      <c r="P24" s="30">
        <v>89</v>
      </c>
      <c r="Q24" s="30">
        <v>80</v>
      </c>
      <c r="R24" s="30">
        <v>70</v>
      </c>
      <c r="S24" s="30">
        <v>60</v>
      </c>
      <c r="T24" s="30">
        <v>50</v>
      </c>
      <c r="U24" s="30">
        <v>40</v>
      </c>
      <c r="V24" s="30">
        <v>30</v>
      </c>
      <c r="W24" s="30">
        <v>20</v>
      </c>
      <c r="X24" s="30">
        <v>10</v>
      </c>
      <c r="Y24" s="30">
        <v>1</v>
      </c>
      <c r="Z24" s="29"/>
      <c r="AA24" s="29"/>
      <c r="AB24" s="29"/>
      <c r="AC24" s="29"/>
      <c r="AD24" s="28">
        <f t="shared" si="1"/>
        <v>13</v>
      </c>
      <c r="AE24" s="28">
        <f>IF(COUNTA(Y12:Y44)&gt;0,ROW()-11,"")</f>
        <v>13</v>
      </c>
      <c r="AF24" s="10"/>
      <c r="AG24" s="10"/>
      <c r="AH24" s="10"/>
      <c r="AI24" s="10"/>
      <c r="AJ24" s="34"/>
      <c r="AK24" s="34"/>
      <c r="AL24" s="45">
        <f>H29</f>
        <v>44</v>
      </c>
      <c r="AM24" s="45">
        <f>H44</f>
        <v>46</v>
      </c>
      <c r="AN24" s="45">
        <f>H24</f>
        <v>34</v>
      </c>
      <c r="AO24" s="45">
        <f>E35</f>
        <v>41</v>
      </c>
      <c r="AP24" s="45">
        <f>E15</f>
        <v>47</v>
      </c>
      <c r="AQ24" s="45">
        <f>E28</f>
        <v>48</v>
      </c>
      <c r="AR24" s="45">
        <f>B39</f>
        <v>45</v>
      </c>
      <c r="AS24" s="45">
        <f>B19</f>
        <v>49</v>
      </c>
      <c r="AT24" s="45">
        <f>B32</f>
        <v>39</v>
      </c>
      <c r="AU24" s="46">
        <f>B14</f>
        <v>45</v>
      </c>
      <c r="AV24" s="34"/>
      <c r="AW24" s="34"/>
      <c r="AX24" s="34"/>
      <c r="AY24" s="34"/>
      <c r="AZ24" s="34"/>
    </row>
    <row r="25" spans="1:53">
      <c r="A25" s="50" t="s">
        <v>157</v>
      </c>
      <c r="B25" s="5">
        <f>'autoZ data'!D14</f>
        <v>46</v>
      </c>
      <c r="C25" s="5">
        <v>23</v>
      </c>
      <c r="D25" s="50" t="s">
        <v>189</v>
      </c>
      <c r="E25" s="6">
        <f>'autoZ data'!D46</f>
        <v>46</v>
      </c>
      <c r="F25" s="5">
        <v>55</v>
      </c>
      <c r="G25" s="50" t="s">
        <v>221</v>
      </c>
      <c r="H25" s="6">
        <f>'autoZ data'!D78</f>
        <v>46</v>
      </c>
      <c r="I25" s="6">
        <v>87</v>
      </c>
      <c r="L25" s="28">
        <f t="shared" si="0"/>
        <v>1</v>
      </c>
      <c r="M25" s="29"/>
      <c r="N25" s="29"/>
      <c r="O25" s="29"/>
      <c r="P25" s="30">
        <v>49</v>
      </c>
      <c r="Q25" s="30">
        <v>79</v>
      </c>
      <c r="R25" s="30">
        <v>69</v>
      </c>
      <c r="S25" s="30">
        <v>59</v>
      </c>
      <c r="T25" s="98"/>
      <c r="U25" s="30">
        <v>39</v>
      </c>
      <c r="V25" s="30">
        <v>29</v>
      </c>
      <c r="W25" s="30">
        <v>19</v>
      </c>
      <c r="X25" s="30">
        <v>9</v>
      </c>
      <c r="Y25" s="44"/>
      <c r="Z25" s="29"/>
      <c r="AA25" s="29"/>
      <c r="AB25" s="29"/>
      <c r="AC25" s="29"/>
      <c r="AD25" s="28">
        <f t="shared" si="1"/>
        <v>14</v>
      </c>
      <c r="AE25" s="28" t="str">
        <f>IF(COUNTA(Z12:Z44)&gt;0,ROW()-11,"")</f>
        <v/>
      </c>
      <c r="AF25" s="10"/>
      <c r="AG25" s="10"/>
      <c r="AH25" s="10"/>
      <c r="AI25" s="10"/>
      <c r="AJ25" s="34"/>
      <c r="AK25" s="34"/>
      <c r="AL25" s="100">
        <f>E13</f>
        <v>46</v>
      </c>
      <c r="AM25" s="45">
        <f>H42</f>
        <v>47</v>
      </c>
      <c r="AN25" s="45">
        <f>H22</f>
        <v>47</v>
      </c>
      <c r="AO25" s="45">
        <f>E33</f>
        <v>34</v>
      </c>
      <c r="AP25" s="99"/>
      <c r="AQ25" s="45">
        <f>E26</f>
        <v>40</v>
      </c>
      <c r="AR25" s="45">
        <f>B37</f>
        <v>47</v>
      </c>
      <c r="AS25" s="45">
        <f>B17</f>
        <v>49</v>
      </c>
      <c r="AT25" s="45">
        <f>B30</f>
        <v>49</v>
      </c>
      <c r="AU25" s="44"/>
      <c r="AV25" s="34"/>
      <c r="AW25" s="34"/>
      <c r="AX25" s="34"/>
      <c r="AY25" s="34"/>
      <c r="AZ25" s="34"/>
    </row>
    <row r="26" spans="1:53">
      <c r="A26" s="50" t="s">
        <v>158</v>
      </c>
      <c r="B26" s="5">
        <f>'autoZ data'!D15</f>
        <v>33</v>
      </c>
      <c r="C26" s="5">
        <v>7</v>
      </c>
      <c r="D26" s="50" t="s">
        <v>190</v>
      </c>
      <c r="E26" s="6">
        <f>'autoZ data'!D47</f>
        <v>40</v>
      </c>
      <c r="F26" s="5">
        <v>39</v>
      </c>
      <c r="G26" s="50" t="s">
        <v>222</v>
      </c>
      <c r="H26" s="6">
        <f>'autoZ data'!D79</f>
        <v>45</v>
      </c>
      <c r="I26" s="6">
        <v>71</v>
      </c>
      <c r="L26" s="28">
        <f t="shared" si="0"/>
        <v>1</v>
      </c>
      <c r="M26" s="29"/>
      <c r="N26" s="29"/>
      <c r="O26" s="29"/>
      <c r="P26" s="32"/>
      <c r="Q26" s="32"/>
      <c r="R26" s="32"/>
      <c r="S26" s="32"/>
      <c r="T26" s="32"/>
      <c r="U26" s="32"/>
      <c r="V26" s="32"/>
      <c r="W26" s="32"/>
      <c r="X26" s="29"/>
      <c r="Y26" s="29"/>
      <c r="Z26" s="29"/>
      <c r="AA26" s="29"/>
      <c r="AB26" s="29"/>
      <c r="AC26" s="29"/>
      <c r="AD26" s="28" t="str">
        <f t="shared" si="1"/>
        <v/>
      </c>
      <c r="AE26" s="28" t="str">
        <f>IF(COUNTA(AA12:AA44)&gt;0,ROW()-11,"")</f>
        <v/>
      </c>
      <c r="AF26" s="10"/>
      <c r="AG26" s="10"/>
      <c r="AH26" s="10"/>
      <c r="AI26" s="10"/>
      <c r="AJ26" s="34"/>
      <c r="AK26" s="34"/>
      <c r="AL26" s="34"/>
      <c r="AM26" s="34"/>
      <c r="AN26" s="34"/>
      <c r="AO26" s="34"/>
      <c r="AP26" s="34"/>
      <c r="AQ26" s="34"/>
      <c r="AR26" s="34"/>
      <c r="AS26" s="34"/>
      <c r="AT26" s="34"/>
      <c r="AU26" s="34"/>
      <c r="AV26" s="34"/>
      <c r="AW26" s="34"/>
      <c r="AX26" s="34"/>
      <c r="AY26" s="34"/>
      <c r="AZ26" s="34"/>
    </row>
    <row r="27" spans="1:53">
      <c r="A27" s="50" t="s">
        <v>159</v>
      </c>
      <c r="B27" s="5">
        <f>'autoZ data'!D16</f>
        <v>35</v>
      </c>
      <c r="C27" s="5">
        <v>24</v>
      </c>
      <c r="D27" s="50" t="s">
        <v>191</v>
      </c>
      <c r="E27" s="6">
        <f>'autoZ data'!D48</f>
        <v>46</v>
      </c>
      <c r="F27" s="5">
        <v>56</v>
      </c>
      <c r="G27" s="50" t="s">
        <v>223</v>
      </c>
      <c r="H27" s="6">
        <f>'autoZ data'!D80</f>
        <v>47</v>
      </c>
      <c r="I27" s="6">
        <v>88</v>
      </c>
      <c r="L27" s="28">
        <f t="shared" si="0"/>
        <v>1</v>
      </c>
      <c r="M27" s="29"/>
      <c r="N27" s="29"/>
      <c r="O27" s="29"/>
      <c r="P27" s="32"/>
      <c r="Q27" s="32"/>
      <c r="R27" s="32"/>
      <c r="S27" s="32"/>
      <c r="T27" s="32"/>
      <c r="U27" s="32"/>
      <c r="V27" s="32"/>
      <c r="W27" s="32"/>
      <c r="X27" s="29"/>
      <c r="Y27" s="29"/>
      <c r="Z27" s="29"/>
      <c r="AA27" s="29"/>
      <c r="AB27" s="29"/>
      <c r="AC27" s="29"/>
      <c r="AD27" s="28" t="str">
        <f t="shared" si="1"/>
        <v/>
      </c>
      <c r="AE27" s="28" t="str">
        <f>IF(COUNTA(AB12:AB44)&gt;0,ROW()-11,"")</f>
        <v/>
      </c>
      <c r="AF27" s="10"/>
      <c r="AG27" s="10"/>
      <c r="AH27" s="10"/>
      <c r="AI27" s="10"/>
      <c r="AJ27" s="34"/>
      <c r="AK27" s="34"/>
      <c r="AL27" s="34"/>
      <c r="AM27" s="34"/>
      <c r="AN27" s="34"/>
      <c r="AO27" s="34"/>
      <c r="AP27" s="34"/>
      <c r="AQ27" s="34"/>
      <c r="AR27" s="34"/>
      <c r="AS27" s="34"/>
      <c r="AT27" s="34"/>
      <c r="AU27" s="34"/>
      <c r="AV27" s="34"/>
      <c r="AW27" s="34"/>
      <c r="AX27" s="34"/>
      <c r="AY27" s="34"/>
      <c r="AZ27" s="34"/>
    </row>
    <row r="28" spans="1:53">
      <c r="A28" s="50" t="s">
        <v>160</v>
      </c>
      <c r="B28" s="5">
        <f>'autoZ data'!D17</f>
        <v>47</v>
      </c>
      <c r="C28" s="5">
        <v>8</v>
      </c>
      <c r="D28" s="50" t="s">
        <v>192</v>
      </c>
      <c r="E28" s="6">
        <f>'autoZ data'!D49</f>
        <v>48</v>
      </c>
      <c r="F28" s="5">
        <v>40</v>
      </c>
      <c r="G28" s="50" t="s">
        <v>224</v>
      </c>
      <c r="H28" s="6">
        <f>'autoZ data'!D81</f>
        <v>52</v>
      </c>
      <c r="I28" s="6">
        <v>72</v>
      </c>
      <c r="L28" s="28">
        <f t="shared" si="0"/>
        <v>1</v>
      </c>
      <c r="M28" s="29"/>
      <c r="N28" s="29"/>
      <c r="O28" s="29"/>
      <c r="P28" s="32"/>
      <c r="Q28" s="32"/>
      <c r="R28" s="32"/>
      <c r="S28" s="32"/>
      <c r="T28" s="32"/>
      <c r="U28" s="32"/>
      <c r="V28" s="32"/>
      <c r="W28" s="32"/>
      <c r="X28" s="29"/>
      <c r="Y28" s="29"/>
      <c r="Z28" s="29"/>
      <c r="AA28" s="29"/>
      <c r="AB28" s="29"/>
      <c r="AC28" s="29"/>
      <c r="AD28" s="28" t="str">
        <f t="shared" si="1"/>
        <v/>
      </c>
      <c r="AE28" s="28" t="str">
        <f>IF(COUNTA(AC12:AC44)&gt;0,ROW()-11,"")</f>
        <v/>
      </c>
      <c r="AF28" s="10"/>
      <c r="AG28" s="10"/>
      <c r="AH28" s="10"/>
      <c r="AI28" s="10"/>
      <c r="AJ28" s="34"/>
      <c r="AK28" s="34"/>
      <c r="AL28" s="34"/>
      <c r="AM28" s="34"/>
      <c r="AN28" s="34"/>
      <c r="AO28" s="34"/>
      <c r="AP28" s="34"/>
      <c r="AQ28" s="34"/>
      <c r="AR28" s="34"/>
      <c r="AS28" s="34"/>
      <c r="AT28" s="34"/>
      <c r="AU28" s="34"/>
      <c r="AV28" s="34"/>
      <c r="AW28" s="34"/>
      <c r="AX28" s="34"/>
      <c r="AY28" s="34"/>
      <c r="AZ28" s="34"/>
    </row>
    <row r="29" spans="1:53">
      <c r="A29" s="50" t="s">
        <v>161</v>
      </c>
      <c r="B29" s="5">
        <f>'autoZ data'!D18</f>
        <v>46</v>
      </c>
      <c r="C29" s="5">
        <v>25</v>
      </c>
      <c r="D29" s="50" t="s">
        <v>193</v>
      </c>
      <c r="E29" s="6">
        <f>'autoZ data'!D50</f>
        <v>32</v>
      </c>
      <c r="F29" s="5">
        <v>57</v>
      </c>
      <c r="G29" s="50" t="s">
        <v>225</v>
      </c>
      <c r="H29" s="6">
        <f>'autoZ data'!D82</f>
        <v>44</v>
      </c>
      <c r="I29" s="6">
        <v>89</v>
      </c>
      <c r="L29" s="28">
        <f t="shared" si="0"/>
        <v>1</v>
      </c>
      <c r="M29" s="29"/>
      <c r="N29" s="29"/>
      <c r="O29" s="29"/>
      <c r="P29" s="32"/>
      <c r="Q29" s="32"/>
      <c r="R29" s="32"/>
      <c r="S29" s="32"/>
      <c r="T29" s="32"/>
      <c r="U29" s="32"/>
      <c r="V29" s="32"/>
      <c r="W29" s="32"/>
      <c r="X29" s="29"/>
      <c r="Y29" s="29"/>
      <c r="Z29" s="29"/>
      <c r="AA29" s="29"/>
      <c r="AB29" s="29"/>
      <c r="AC29" s="29"/>
      <c r="AD29" s="28" t="str">
        <f t="shared" si="1"/>
        <v/>
      </c>
      <c r="AE29" s="28"/>
      <c r="AF29" s="10"/>
      <c r="AG29" s="10"/>
      <c r="AH29" s="10"/>
      <c r="AI29" s="10"/>
      <c r="AJ29" s="34"/>
      <c r="AK29" s="34"/>
      <c r="AL29" s="34"/>
      <c r="AM29" s="34"/>
      <c r="AN29" s="34"/>
      <c r="AO29" s="34"/>
      <c r="AP29" s="34"/>
      <c r="AQ29" s="34"/>
      <c r="AR29" s="34"/>
      <c r="AS29" s="34"/>
      <c r="AT29" s="34"/>
      <c r="AU29" s="34"/>
      <c r="AV29" s="34"/>
      <c r="AW29" s="34"/>
      <c r="AX29" s="34"/>
      <c r="AY29" s="34"/>
      <c r="AZ29" s="34"/>
    </row>
    <row r="30" spans="1:53">
      <c r="A30" s="50" t="s">
        <v>162</v>
      </c>
      <c r="B30" s="5">
        <f>'autoZ data'!D19</f>
        <v>49</v>
      </c>
      <c r="C30" s="5">
        <v>9</v>
      </c>
      <c r="D30" s="50" t="s">
        <v>194</v>
      </c>
      <c r="E30" s="6">
        <f>'autoZ data'!D51</f>
        <v>32</v>
      </c>
      <c r="F30" s="5">
        <v>41</v>
      </c>
      <c r="G30" s="50" t="s">
        <v>226</v>
      </c>
      <c r="H30" s="6">
        <f>'autoZ data'!D83</f>
        <v>31</v>
      </c>
      <c r="I30" s="6">
        <v>73</v>
      </c>
      <c r="L30" s="28">
        <f t="shared" si="0"/>
        <v>1</v>
      </c>
      <c r="M30" s="29"/>
      <c r="N30" s="29"/>
      <c r="O30" s="29"/>
      <c r="P30" s="32"/>
      <c r="Q30" s="32"/>
      <c r="R30" s="32"/>
      <c r="S30" s="32"/>
      <c r="T30" s="32"/>
      <c r="U30" s="32"/>
      <c r="V30" s="32"/>
      <c r="W30" s="32"/>
      <c r="X30" s="29"/>
      <c r="Y30" s="29"/>
      <c r="Z30" s="29"/>
      <c r="AA30" s="29"/>
      <c r="AB30" s="29"/>
      <c r="AC30" s="29"/>
      <c r="AD30" s="28" t="str">
        <f t="shared" si="1"/>
        <v/>
      </c>
      <c r="AE30" s="28"/>
      <c r="AF30" s="10"/>
      <c r="AG30" s="10"/>
      <c r="AH30" s="10"/>
      <c r="AI30" s="10"/>
      <c r="AJ30" s="34"/>
      <c r="AK30" s="34"/>
      <c r="AL30" s="34"/>
      <c r="AM30" s="34"/>
      <c r="AN30" s="34"/>
      <c r="AO30" s="34"/>
      <c r="AP30" s="34"/>
      <c r="AQ30" s="34"/>
      <c r="AR30" s="34"/>
      <c r="AS30" s="34"/>
      <c r="AT30" s="34"/>
      <c r="AU30" s="34"/>
      <c r="AV30" s="34"/>
      <c r="AW30" s="34"/>
      <c r="AX30" s="34"/>
      <c r="AY30" s="34"/>
      <c r="AZ30" s="34"/>
    </row>
    <row r="31" spans="1:53" ht="13.2">
      <c r="A31" s="50" t="s">
        <v>163</v>
      </c>
      <c r="B31" s="5">
        <f>'autoZ data'!D20</f>
        <v>44</v>
      </c>
      <c r="C31" s="5">
        <v>26</v>
      </c>
      <c r="D31" s="50" t="s">
        <v>195</v>
      </c>
      <c r="E31" s="6">
        <f>'autoZ data'!D52</f>
        <v>42</v>
      </c>
      <c r="F31" s="5">
        <v>58</v>
      </c>
      <c r="G31" s="50" t="s">
        <v>227</v>
      </c>
      <c r="H31" s="6">
        <f>'autoZ data'!D84</f>
        <v>46</v>
      </c>
      <c r="I31" s="6">
        <v>90</v>
      </c>
      <c r="L31" s="28">
        <f t="shared" si="0"/>
        <v>1</v>
      </c>
      <c r="M31" s="29"/>
      <c r="N31" s="29"/>
      <c r="O31" s="29"/>
      <c r="P31" s="32"/>
      <c r="Q31" s="32"/>
      <c r="R31" s="32"/>
      <c r="S31" s="32"/>
      <c r="T31" s="32"/>
      <c r="U31" s="32"/>
      <c r="V31" s="32"/>
      <c r="W31" s="32"/>
      <c r="X31" s="29"/>
      <c r="Y31" s="29"/>
      <c r="Z31" s="29"/>
      <c r="AA31" s="29"/>
      <c r="AB31" s="29"/>
      <c r="AC31" s="29"/>
      <c r="AD31" s="28" t="str">
        <f t="shared" si="1"/>
        <v/>
      </c>
      <c r="AE31" s="28"/>
      <c r="AF31" s="10"/>
      <c r="AG31" s="10"/>
      <c r="AH31" s="10"/>
      <c r="AI31" s="10"/>
      <c r="AJ31" s="34"/>
      <c r="AK31" s="34"/>
      <c r="AL31" s="34"/>
      <c r="AM31" s="34"/>
      <c r="AN31" s="34"/>
      <c r="AO31" s="34"/>
      <c r="AP31" s="34"/>
      <c r="AQ31" s="34"/>
      <c r="AR31" s="34"/>
      <c r="AS31" s="34"/>
      <c r="AT31" s="35"/>
      <c r="AU31" s="35"/>
      <c r="AV31" s="35"/>
      <c r="AW31" s="35"/>
      <c r="AX31" s="35"/>
      <c r="AY31" s="35"/>
      <c r="AZ31" s="35"/>
    </row>
    <row r="32" spans="1:53" ht="13.2">
      <c r="A32" s="50" t="s">
        <v>164</v>
      </c>
      <c r="B32" s="5">
        <f>'autoZ data'!D21</f>
        <v>39</v>
      </c>
      <c r="C32" s="5">
        <v>10</v>
      </c>
      <c r="D32" s="50" t="s">
        <v>196</v>
      </c>
      <c r="E32" s="6">
        <f>'autoZ data'!D53</f>
        <v>38</v>
      </c>
      <c r="F32" s="5">
        <v>42</v>
      </c>
      <c r="G32" s="50" t="s">
        <v>228</v>
      </c>
      <c r="H32" s="6">
        <f>'autoZ data'!D85</f>
        <v>40</v>
      </c>
      <c r="I32" s="6">
        <v>74</v>
      </c>
      <c r="L32" s="28">
        <f t="shared" si="0"/>
        <v>1</v>
      </c>
      <c r="M32" s="29"/>
      <c r="N32" s="29"/>
      <c r="O32" s="29"/>
      <c r="P32" s="29"/>
      <c r="Q32" s="29"/>
      <c r="R32" s="29"/>
      <c r="S32" s="29"/>
      <c r="T32" s="29"/>
      <c r="U32" s="29"/>
      <c r="V32" s="29"/>
      <c r="W32" s="29"/>
      <c r="X32" s="29"/>
      <c r="Y32" s="29"/>
      <c r="Z32" s="29"/>
      <c r="AA32" s="29"/>
      <c r="AB32" s="29"/>
      <c r="AC32" s="29"/>
      <c r="AD32" s="28" t="str">
        <f t="shared" si="1"/>
        <v/>
      </c>
      <c r="AE32" s="28"/>
      <c r="AF32" s="10"/>
      <c r="AG32" s="10"/>
      <c r="AH32" s="10"/>
      <c r="AI32" s="10"/>
      <c r="AJ32" s="34"/>
      <c r="AK32" s="34"/>
      <c r="AL32" s="34"/>
      <c r="AM32" s="34"/>
      <c r="AN32" s="34"/>
      <c r="AO32" s="34"/>
      <c r="AP32" s="34"/>
      <c r="AQ32" s="34"/>
      <c r="AR32" s="34"/>
      <c r="AS32" s="34"/>
      <c r="AT32" s="35"/>
      <c r="AU32" s="35"/>
      <c r="AV32" s="35"/>
      <c r="AW32" s="35"/>
      <c r="AX32" s="35"/>
      <c r="AY32" s="35"/>
      <c r="AZ32" s="35"/>
    </row>
    <row r="33" spans="1:52" ht="13.2">
      <c r="A33" s="50" t="s">
        <v>165</v>
      </c>
      <c r="B33" s="5">
        <f>'autoZ data'!D22</f>
        <v>43</v>
      </c>
      <c r="C33" s="5">
        <v>27</v>
      </c>
      <c r="D33" s="50" t="s">
        <v>197</v>
      </c>
      <c r="E33" s="6">
        <f>'autoZ data'!D54</f>
        <v>34</v>
      </c>
      <c r="F33" s="5">
        <v>59</v>
      </c>
      <c r="G33" s="50" t="s">
        <v>229</v>
      </c>
      <c r="H33" s="6">
        <f>'autoZ data'!D86</f>
        <v>47</v>
      </c>
      <c r="I33" s="6">
        <v>91</v>
      </c>
      <c r="L33" s="28">
        <f t="shared" si="0"/>
        <v>1</v>
      </c>
      <c r="M33" s="29"/>
      <c r="N33" s="29"/>
      <c r="O33" s="29"/>
      <c r="P33" s="29"/>
      <c r="Q33" s="29"/>
      <c r="R33" s="29"/>
      <c r="S33" s="29"/>
      <c r="T33" s="29"/>
      <c r="U33" s="29"/>
      <c r="V33" s="29"/>
      <c r="W33" s="29"/>
      <c r="X33" s="29"/>
      <c r="Y33" s="29"/>
      <c r="Z33" s="29"/>
      <c r="AA33" s="29"/>
      <c r="AB33" s="29"/>
      <c r="AC33" s="29"/>
      <c r="AD33" s="28" t="str">
        <f t="shared" si="1"/>
        <v/>
      </c>
      <c r="AE33" s="28"/>
      <c r="AF33" s="10"/>
      <c r="AG33" s="10"/>
      <c r="AH33" s="10"/>
      <c r="AI33" s="10"/>
      <c r="AJ33" s="34"/>
      <c r="AK33" s="34"/>
      <c r="AL33" s="34"/>
      <c r="AM33" s="34"/>
      <c r="AN33" s="34"/>
      <c r="AO33" s="34"/>
      <c r="AP33" s="34"/>
      <c r="AQ33" s="34"/>
      <c r="AR33" s="34"/>
      <c r="AS33" s="34"/>
      <c r="AT33" s="35"/>
      <c r="AU33" s="35"/>
      <c r="AV33" s="35"/>
      <c r="AW33" s="35"/>
      <c r="AX33" s="35"/>
      <c r="AY33" s="35"/>
      <c r="AZ33" s="35"/>
    </row>
    <row r="34" spans="1:52" ht="13.2">
      <c r="A34" s="50" t="s">
        <v>166</v>
      </c>
      <c r="B34" s="5">
        <f>'autoZ data'!D23</f>
        <v>45</v>
      </c>
      <c r="C34" s="5">
        <v>11</v>
      </c>
      <c r="D34" s="50" t="s">
        <v>198</v>
      </c>
      <c r="E34" s="6">
        <f>'autoZ data'!D55</f>
        <v>47</v>
      </c>
      <c r="F34" s="5">
        <v>43</v>
      </c>
      <c r="G34" s="50" t="s">
        <v>230</v>
      </c>
      <c r="H34" s="6">
        <f>'autoZ data'!D87</f>
        <v>55</v>
      </c>
      <c r="I34" s="6">
        <v>75</v>
      </c>
      <c r="L34" s="28">
        <f t="shared" si="0"/>
        <v>1</v>
      </c>
      <c r="M34" s="29"/>
      <c r="N34" s="29"/>
      <c r="O34" s="29"/>
      <c r="P34" s="29"/>
      <c r="Q34" s="29"/>
      <c r="R34" s="29"/>
      <c r="S34" s="29"/>
      <c r="T34" s="29"/>
      <c r="U34" s="29"/>
      <c r="V34" s="29"/>
      <c r="W34" s="29"/>
      <c r="X34" s="29"/>
      <c r="Y34" s="29"/>
      <c r="Z34" s="29"/>
      <c r="AA34" s="29"/>
      <c r="AB34" s="29"/>
      <c r="AC34" s="29"/>
      <c r="AD34" s="28" t="str">
        <f t="shared" si="1"/>
        <v/>
      </c>
      <c r="AE34" s="28"/>
      <c r="AF34" s="10"/>
      <c r="AG34" s="10"/>
      <c r="AH34" s="10"/>
      <c r="AI34" s="10"/>
      <c r="AJ34" s="34"/>
      <c r="AK34" s="34"/>
      <c r="AL34" s="34"/>
      <c r="AM34" s="34"/>
      <c r="AN34" s="34"/>
      <c r="AO34" s="34"/>
      <c r="AP34" s="34"/>
      <c r="AQ34" s="34"/>
      <c r="AR34" s="34"/>
      <c r="AS34" s="34"/>
      <c r="AT34" s="35"/>
      <c r="AU34" s="35"/>
      <c r="AV34" s="35"/>
      <c r="AW34" s="35"/>
      <c r="AX34" s="35"/>
      <c r="AY34" s="35"/>
      <c r="AZ34" s="35"/>
    </row>
    <row r="35" spans="1:52" ht="13.2">
      <c r="A35" s="50" t="s">
        <v>167</v>
      </c>
      <c r="B35" s="5">
        <f>'autoZ data'!D24</f>
        <v>49</v>
      </c>
      <c r="C35" s="5">
        <v>28</v>
      </c>
      <c r="D35" s="50" t="s">
        <v>199</v>
      </c>
      <c r="E35" s="6">
        <f>'autoZ data'!D56</f>
        <v>41</v>
      </c>
      <c r="F35" s="5">
        <v>60</v>
      </c>
      <c r="G35" s="50" t="s">
        <v>231</v>
      </c>
      <c r="H35" s="6">
        <f>'autoZ data'!D88</f>
        <v>46</v>
      </c>
      <c r="I35" s="6">
        <v>92</v>
      </c>
      <c r="L35" s="28">
        <f t="shared" si="0"/>
        <v>1</v>
      </c>
      <c r="M35" s="29"/>
      <c r="N35" s="29"/>
      <c r="O35" s="29"/>
      <c r="P35" s="29"/>
      <c r="Q35" s="29"/>
      <c r="R35" s="29"/>
      <c r="S35" s="29"/>
      <c r="T35" s="29"/>
      <c r="U35" s="29"/>
      <c r="V35" s="29"/>
      <c r="W35" s="29"/>
      <c r="X35" s="29"/>
      <c r="Y35" s="29"/>
      <c r="Z35" s="29"/>
      <c r="AA35" s="29"/>
      <c r="AB35" s="29"/>
      <c r="AC35" s="29"/>
      <c r="AD35" s="28" t="str">
        <f t="shared" si="1"/>
        <v/>
      </c>
      <c r="AE35" s="28"/>
      <c r="AF35" s="10"/>
      <c r="AG35" s="10"/>
      <c r="AH35" s="10"/>
      <c r="AI35" s="10"/>
      <c r="AJ35" s="34"/>
      <c r="AK35" s="34"/>
      <c r="AL35" s="34"/>
      <c r="AM35" s="34"/>
      <c r="AN35" s="34"/>
      <c r="AO35" s="34"/>
      <c r="AP35" s="34"/>
      <c r="AQ35" s="34"/>
      <c r="AR35" s="34"/>
      <c r="AS35" s="34"/>
      <c r="AT35" s="35"/>
      <c r="AU35" s="35"/>
      <c r="AV35" s="35"/>
      <c r="AW35" s="35"/>
      <c r="AX35" s="35"/>
      <c r="AY35" s="35"/>
      <c r="AZ35" s="35"/>
    </row>
    <row r="36" spans="1:52" ht="13.2">
      <c r="A36" s="50" t="s">
        <v>168</v>
      </c>
      <c r="B36" s="5">
        <f>'autoZ data'!D25</f>
        <v>34</v>
      </c>
      <c r="C36" s="5">
        <v>12</v>
      </c>
      <c r="D36" s="50" t="s">
        <v>200</v>
      </c>
      <c r="E36" s="6">
        <f>'autoZ data'!D57</f>
        <v>40</v>
      </c>
      <c r="F36" s="5">
        <v>44</v>
      </c>
      <c r="G36" s="50" t="s">
        <v>232</v>
      </c>
      <c r="H36" s="6">
        <f>'autoZ data'!D89</f>
        <v>45</v>
      </c>
      <c r="I36" s="6">
        <v>76</v>
      </c>
      <c r="L36" s="28">
        <f t="shared" si="0"/>
        <v>1</v>
      </c>
      <c r="M36" s="29"/>
      <c r="N36" s="29"/>
      <c r="O36" s="29"/>
      <c r="P36" s="29"/>
      <c r="Q36" s="29"/>
      <c r="R36" s="29"/>
      <c r="S36" s="29"/>
      <c r="T36" s="29"/>
      <c r="U36" s="29"/>
      <c r="V36" s="29"/>
      <c r="W36" s="29"/>
      <c r="X36" s="29"/>
      <c r="Y36" s="29"/>
      <c r="Z36" s="29"/>
      <c r="AA36" s="29"/>
      <c r="AB36" s="29"/>
      <c r="AC36" s="29"/>
      <c r="AD36" s="28" t="str">
        <f t="shared" si="1"/>
        <v/>
      </c>
      <c r="AE36" s="28"/>
      <c r="AF36" s="10"/>
      <c r="AG36" s="10"/>
      <c r="AH36" s="10"/>
      <c r="AI36" s="10"/>
      <c r="AJ36" s="34"/>
      <c r="AK36" s="34"/>
      <c r="AL36" s="34"/>
      <c r="AM36" s="34"/>
      <c r="AN36" s="34"/>
      <c r="AO36" s="34"/>
      <c r="AP36" s="34"/>
      <c r="AQ36" s="34"/>
      <c r="AR36" s="34"/>
      <c r="AS36" s="34"/>
      <c r="AT36" s="35"/>
      <c r="AU36" s="35"/>
      <c r="AV36" s="35"/>
      <c r="AW36" s="35"/>
      <c r="AX36" s="35"/>
      <c r="AY36" s="35"/>
      <c r="AZ36" s="35"/>
    </row>
    <row r="37" spans="1:52" ht="13.2">
      <c r="A37" s="50" t="s">
        <v>169</v>
      </c>
      <c r="B37" s="5">
        <f>'autoZ data'!D26</f>
        <v>47</v>
      </c>
      <c r="C37" s="5">
        <v>29</v>
      </c>
      <c r="D37" s="50" t="s">
        <v>201</v>
      </c>
      <c r="E37" s="6">
        <f>'autoZ data'!D58</f>
        <v>45</v>
      </c>
      <c r="F37" s="5">
        <v>61</v>
      </c>
      <c r="G37" s="50" t="s">
        <v>233</v>
      </c>
      <c r="H37" s="6">
        <f>'autoZ data'!D90</f>
        <v>48</v>
      </c>
      <c r="I37" s="6">
        <v>93</v>
      </c>
      <c r="L37" s="28">
        <f t="shared" si="0"/>
        <v>1</v>
      </c>
      <c r="M37" s="29"/>
      <c r="N37" s="29"/>
      <c r="O37" s="29"/>
      <c r="P37" s="29"/>
      <c r="Q37" s="29"/>
      <c r="R37" s="29"/>
      <c r="S37" s="29"/>
      <c r="T37" s="29"/>
      <c r="U37" s="29"/>
      <c r="V37" s="29"/>
      <c r="W37" s="29"/>
      <c r="X37" s="29"/>
      <c r="Y37" s="29"/>
      <c r="Z37" s="29"/>
      <c r="AA37" s="29"/>
      <c r="AB37" s="29"/>
      <c r="AC37" s="29"/>
      <c r="AD37" s="28" t="str">
        <f t="shared" si="1"/>
        <v/>
      </c>
      <c r="AE37" s="28"/>
      <c r="AF37" s="10"/>
      <c r="AG37" s="10"/>
      <c r="AH37" s="10"/>
      <c r="AI37" s="10"/>
      <c r="AJ37" s="34"/>
      <c r="AK37" s="34"/>
      <c r="AL37" s="34"/>
      <c r="AM37" s="34"/>
      <c r="AN37" s="34"/>
      <c r="AO37" s="34"/>
      <c r="AP37" s="34"/>
      <c r="AQ37" s="34"/>
      <c r="AR37" s="34"/>
      <c r="AS37" s="34"/>
      <c r="AT37" s="35"/>
      <c r="AU37" s="35"/>
      <c r="AV37" s="35"/>
      <c r="AW37" s="35"/>
      <c r="AX37" s="35"/>
      <c r="AY37" s="35"/>
      <c r="AZ37" s="35"/>
    </row>
    <row r="38" spans="1:52" ht="12" customHeight="1">
      <c r="A38" s="50" t="s">
        <v>170</v>
      </c>
      <c r="B38" s="5">
        <f>'autoZ data'!D27</f>
        <v>35</v>
      </c>
      <c r="C38" s="5">
        <v>13</v>
      </c>
      <c r="D38" s="50" t="s">
        <v>202</v>
      </c>
      <c r="E38" s="6">
        <f>'autoZ data'!D59</f>
        <v>38</v>
      </c>
      <c r="F38" s="5">
        <v>45</v>
      </c>
      <c r="G38" s="50" t="s">
        <v>234</v>
      </c>
      <c r="H38" s="6">
        <f>'autoZ data'!D91</f>
        <v>30</v>
      </c>
      <c r="I38" s="6">
        <v>77</v>
      </c>
      <c r="L38" s="28">
        <f t="shared" si="0"/>
        <v>1</v>
      </c>
      <c r="M38" s="29"/>
      <c r="N38" s="29"/>
      <c r="O38" s="29"/>
      <c r="P38" s="29"/>
      <c r="Q38" s="29"/>
      <c r="R38" s="29"/>
      <c r="S38" s="29"/>
      <c r="T38" s="29"/>
      <c r="U38" s="29"/>
      <c r="V38" s="29"/>
      <c r="W38" s="29"/>
      <c r="X38" s="29"/>
      <c r="Y38" s="29"/>
      <c r="Z38" s="29"/>
      <c r="AA38" s="29"/>
      <c r="AB38" s="29"/>
      <c r="AC38" s="29"/>
      <c r="AD38" s="28" t="str">
        <f t="shared" si="1"/>
        <v/>
      </c>
      <c r="AE38" s="28"/>
      <c r="AF38" s="10"/>
      <c r="AG38" s="10"/>
      <c r="AH38" s="10"/>
      <c r="AI38" s="10"/>
      <c r="AJ38" s="34"/>
      <c r="AK38" s="34"/>
      <c r="AL38" s="34"/>
      <c r="AM38" s="34"/>
      <c r="AN38" s="34"/>
      <c r="AO38" s="34"/>
      <c r="AP38" s="34"/>
      <c r="AQ38" s="34"/>
      <c r="AR38" s="34"/>
      <c r="AS38" s="34"/>
      <c r="AT38" s="35"/>
      <c r="AU38" s="35"/>
      <c r="AV38" s="35"/>
      <c r="AW38" s="35"/>
      <c r="AX38" s="35"/>
      <c r="AY38" s="35"/>
      <c r="AZ38" s="35"/>
    </row>
    <row r="39" spans="1:52" ht="12" customHeight="1">
      <c r="A39" s="50" t="s">
        <v>171</v>
      </c>
      <c r="B39" s="5">
        <f>'autoZ data'!D28</f>
        <v>45</v>
      </c>
      <c r="C39" s="5">
        <v>30</v>
      </c>
      <c r="D39" s="50" t="s">
        <v>203</v>
      </c>
      <c r="E39" s="6">
        <f>'autoZ data'!D60</f>
        <v>45</v>
      </c>
      <c r="F39" s="5">
        <v>62</v>
      </c>
      <c r="G39" s="50" t="s">
        <v>235</v>
      </c>
      <c r="H39" s="6">
        <f>'autoZ data'!D92</f>
        <v>47</v>
      </c>
      <c r="I39" s="6">
        <v>94</v>
      </c>
      <c r="L39" s="28">
        <f t="shared" si="0"/>
        <v>1</v>
      </c>
      <c r="M39" s="29"/>
      <c r="N39" s="29"/>
      <c r="O39" s="29"/>
      <c r="P39" s="29"/>
      <c r="Q39" s="29"/>
      <c r="R39" s="29"/>
      <c r="S39" s="29"/>
      <c r="T39" s="29"/>
      <c r="U39" s="29"/>
      <c r="V39" s="29"/>
      <c r="W39" s="29"/>
      <c r="X39" s="29"/>
      <c r="Y39" s="29"/>
      <c r="Z39" s="29"/>
      <c r="AA39" s="29"/>
      <c r="AB39" s="29"/>
      <c r="AC39" s="29"/>
      <c r="AD39" s="28" t="str">
        <f t="shared" si="1"/>
        <v/>
      </c>
      <c r="AE39" s="28"/>
      <c r="AF39" s="10"/>
      <c r="AG39" s="10"/>
      <c r="AH39" s="10"/>
      <c r="AI39" s="10"/>
      <c r="AJ39" s="34"/>
      <c r="AK39" s="34"/>
      <c r="AL39" s="34"/>
      <c r="AM39" s="34"/>
      <c r="AN39" s="34"/>
      <c r="AO39" s="34"/>
      <c r="AP39" s="34"/>
      <c r="AQ39" s="34"/>
      <c r="AR39" s="34"/>
      <c r="AS39" s="34"/>
      <c r="AT39" s="35"/>
      <c r="AU39" s="35"/>
      <c r="AV39" s="35"/>
      <c r="AW39" s="35"/>
      <c r="AX39" s="35"/>
      <c r="AY39" s="35"/>
      <c r="AZ39" s="35"/>
    </row>
    <row r="40" spans="1:52" ht="12" customHeight="1">
      <c r="A40" s="50" t="s">
        <v>172</v>
      </c>
      <c r="B40" s="5">
        <f>'autoZ data'!D29</f>
        <v>32</v>
      </c>
      <c r="C40" s="5">
        <v>14</v>
      </c>
      <c r="D40" s="50" t="s">
        <v>204</v>
      </c>
      <c r="E40" s="6">
        <f>'autoZ data'!D61</f>
        <v>45</v>
      </c>
      <c r="F40" s="5">
        <v>46</v>
      </c>
      <c r="G40" s="50" t="s">
        <v>236</v>
      </c>
      <c r="H40" s="6">
        <f>'autoZ data'!D93</f>
        <v>46</v>
      </c>
      <c r="I40" s="6">
        <v>78</v>
      </c>
      <c r="L40" s="28">
        <f t="shared" si="0"/>
        <v>1</v>
      </c>
      <c r="M40" s="29"/>
      <c r="N40" s="29"/>
      <c r="O40" s="29"/>
      <c r="P40" s="29"/>
      <c r="Q40" s="29"/>
      <c r="R40" s="29"/>
      <c r="S40" s="29"/>
      <c r="T40" s="29"/>
      <c r="U40" s="29"/>
      <c r="V40" s="29"/>
      <c r="W40" s="29"/>
      <c r="X40" s="29"/>
      <c r="Y40" s="29"/>
      <c r="Z40" s="29"/>
      <c r="AA40" s="29"/>
      <c r="AB40" s="29"/>
      <c r="AC40" s="29"/>
      <c r="AD40" s="28" t="str">
        <f t="shared" si="1"/>
        <v/>
      </c>
      <c r="AE40" s="28"/>
      <c r="AF40" s="10"/>
      <c r="AG40" s="10"/>
      <c r="AH40" s="10"/>
      <c r="AI40" s="10"/>
      <c r="AJ40" s="34"/>
      <c r="AK40" s="34"/>
      <c r="AL40" s="34"/>
      <c r="AM40" s="34"/>
      <c r="AN40" s="34"/>
      <c r="AO40" s="34"/>
      <c r="AP40" s="34"/>
      <c r="AQ40" s="34"/>
      <c r="AR40" s="34"/>
      <c r="AS40" s="34"/>
      <c r="AT40" s="35"/>
      <c r="AU40" s="35"/>
      <c r="AV40" s="35"/>
      <c r="AW40" s="35"/>
      <c r="AX40" s="35"/>
      <c r="AY40" s="35"/>
      <c r="AZ40" s="35"/>
    </row>
    <row r="41" spans="1:52" ht="12" customHeight="1">
      <c r="A41" s="50" t="s">
        <v>173</v>
      </c>
      <c r="B41" s="5">
        <f>'autoZ data'!D30</f>
        <v>46</v>
      </c>
      <c r="C41" s="5">
        <v>31</v>
      </c>
      <c r="D41" s="50" t="s">
        <v>205</v>
      </c>
      <c r="E41" s="6">
        <f>'autoZ data'!D62</f>
        <v>45</v>
      </c>
      <c r="F41" s="5">
        <v>63</v>
      </c>
      <c r="G41" s="50" t="s">
        <v>237</v>
      </c>
      <c r="H41" s="6">
        <f>'autoZ data'!D94</f>
        <v>43</v>
      </c>
      <c r="I41" s="6">
        <v>95</v>
      </c>
      <c r="L41" s="28">
        <f t="shared" si="0"/>
        <v>1</v>
      </c>
      <c r="M41" s="29"/>
      <c r="N41" s="29"/>
      <c r="O41" s="29"/>
      <c r="P41" s="29"/>
      <c r="Q41" s="29"/>
      <c r="R41" s="29"/>
      <c r="S41" s="29"/>
      <c r="T41" s="31"/>
      <c r="U41" s="31"/>
      <c r="V41" s="31"/>
      <c r="W41" s="31"/>
      <c r="X41" s="31"/>
      <c r="Y41" s="31"/>
      <c r="Z41" s="31"/>
      <c r="AA41" s="31"/>
      <c r="AB41" s="31"/>
      <c r="AC41" s="31"/>
      <c r="AD41" s="28" t="str">
        <f t="shared" si="1"/>
        <v/>
      </c>
      <c r="AE41" s="28"/>
      <c r="AF41" s="10"/>
      <c r="AG41" s="10"/>
      <c r="AH41" s="10"/>
      <c r="AI41" s="10"/>
      <c r="AJ41" s="35"/>
      <c r="AK41" s="35"/>
      <c r="AL41" s="35"/>
      <c r="AM41" s="35"/>
      <c r="AN41" s="35"/>
      <c r="AO41" s="35"/>
      <c r="AP41" s="35"/>
      <c r="AQ41" s="35"/>
      <c r="AR41" s="34"/>
      <c r="AS41" s="34"/>
      <c r="AT41" s="35"/>
      <c r="AU41" s="35"/>
      <c r="AV41" s="35"/>
      <c r="AW41" s="35"/>
      <c r="AX41" s="35"/>
      <c r="AY41" s="35"/>
      <c r="AZ41" s="35"/>
    </row>
    <row r="42" spans="1:52" ht="12" customHeight="1">
      <c r="A42" s="50" t="s">
        <v>174</v>
      </c>
      <c r="B42" s="5">
        <f>'autoZ data'!D31</f>
        <v>38</v>
      </c>
      <c r="C42" s="5">
        <v>15</v>
      </c>
      <c r="D42" s="50" t="s">
        <v>206</v>
      </c>
      <c r="E42" s="6">
        <f>'autoZ data'!D63</f>
        <v>30</v>
      </c>
      <c r="F42" s="5">
        <v>47</v>
      </c>
      <c r="G42" s="50" t="s">
        <v>238</v>
      </c>
      <c r="H42" s="6">
        <f>'autoZ data'!D95</f>
        <v>47</v>
      </c>
      <c r="I42" s="6">
        <v>79</v>
      </c>
      <c r="L42" s="28">
        <f t="shared" si="0"/>
        <v>1</v>
      </c>
      <c r="M42" s="29"/>
      <c r="N42" s="29"/>
      <c r="O42" s="29"/>
      <c r="P42" s="29"/>
      <c r="Q42" s="29"/>
      <c r="R42" s="29"/>
      <c r="S42" s="29"/>
      <c r="T42" s="31"/>
      <c r="U42" s="31"/>
      <c r="V42" s="31"/>
      <c r="W42" s="31"/>
      <c r="X42" s="31"/>
      <c r="Y42" s="31"/>
      <c r="Z42" s="31"/>
      <c r="AA42" s="31"/>
      <c r="AB42" s="31"/>
      <c r="AC42" s="31"/>
      <c r="AD42" s="28" t="str">
        <f t="shared" si="1"/>
        <v/>
      </c>
      <c r="AE42" s="28"/>
      <c r="AF42" s="10"/>
      <c r="AG42" s="10"/>
      <c r="AH42" s="10"/>
      <c r="AI42" s="10"/>
      <c r="AJ42" s="35"/>
      <c r="AK42" s="35"/>
      <c r="AL42" s="35"/>
      <c r="AM42" s="35"/>
      <c r="AN42" s="35"/>
      <c r="AO42" s="35"/>
      <c r="AP42" s="35"/>
      <c r="AQ42" s="35"/>
      <c r="AR42" s="34"/>
      <c r="AS42" s="34"/>
      <c r="AT42" s="35"/>
      <c r="AU42" s="35"/>
      <c r="AV42" s="35"/>
      <c r="AW42" s="35"/>
      <c r="AX42" s="35"/>
      <c r="AY42" s="35"/>
      <c r="AZ42" s="35"/>
    </row>
    <row r="43" spans="1:52" ht="12" customHeight="1">
      <c r="A43" s="50" t="s">
        <v>175</v>
      </c>
      <c r="B43" s="5">
        <f>'autoZ data'!D32</f>
        <v>34</v>
      </c>
      <c r="C43" s="5">
        <v>32</v>
      </c>
      <c r="D43" s="50" t="s">
        <v>207</v>
      </c>
      <c r="E43" s="6">
        <f>'autoZ data'!D64</f>
        <v>50</v>
      </c>
      <c r="F43" s="5">
        <v>64</v>
      </c>
      <c r="G43" s="50" t="s">
        <v>239</v>
      </c>
      <c r="H43" s="6">
        <f>'autoZ data'!D96</f>
        <v>30</v>
      </c>
      <c r="I43" s="6">
        <v>96</v>
      </c>
      <c r="L43" s="28">
        <f t="shared" si="0"/>
        <v>1</v>
      </c>
      <c r="M43" s="29"/>
      <c r="N43" s="29"/>
      <c r="O43" s="29"/>
      <c r="P43" s="29"/>
      <c r="Q43" s="29"/>
      <c r="R43" s="29"/>
      <c r="S43" s="29"/>
      <c r="T43" s="31"/>
      <c r="U43" s="31"/>
      <c r="V43" s="31"/>
      <c r="W43" s="31"/>
      <c r="X43" s="31"/>
      <c r="Y43" s="31"/>
      <c r="Z43" s="31"/>
      <c r="AA43" s="31"/>
      <c r="AB43" s="31"/>
      <c r="AC43" s="31"/>
      <c r="AD43" s="28" t="str">
        <f t="shared" si="1"/>
        <v/>
      </c>
      <c r="AE43" s="28"/>
      <c r="AF43" s="10"/>
      <c r="AG43" s="10"/>
      <c r="AH43" s="10"/>
      <c r="AI43" s="10"/>
      <c r="AJ43" s="35"/>
      <c r="AK43" s="35"/>
      <c r="AL43" s="35"/>
      <c r="AM43" s="35"/>
      <c r="AN43" s="35"/>
      <c r="AO43" s="35"/>
      <c r="AP43" s="35"/>
      <c r="AQ43" s="35"/>
      <c r="AR43" s="34"/>
      <c r="AS43" s="34"/>
      <c r="AT43" s="35"/>
      <c r="AU43" s="35"/>
      <c r="AV43" s="35"/>
      <c r="AW43" s="35"/>
      <c r="AX43" s="35"/>
      <c r="AY43" s="35"/>
      <c r="AZ43" s="35"/>
    </row>
    <row r="44" spans="1:52" ht="13.8" thickBot="1">
      <c r="A44" s="51" t="s">
        <v>176</v>
      </c>
      <c r="B44" s="7">
        <f>'autoZ data'!D33</f>
        <v>44</v>
      </c>
      <c r="C44" s="7">
        <v>16</v>
      </c>
      <c r="D44" s="51" t="s">
        <v>208</v>
      </c>
      <c r="E44" s="8">
        <f>'autoZ data'!D65</f>
        <v>32</v>
      </c>
      <c r="F44" s="7">
        <v>48</v>
      </c>
      <c r="G44" s="51" t="s">
        <v>240</v>
      </c>
      <c r="H44" s="8">
        <f>'autoZ data'!D97</f>
        <v>46</v>
      </c>
      <c r="I44" s="8">
        <v>80</v>
      </c>
      <c r="L44" s="28">
        <f t="shared" si="0"/>
        <v>1</v>
      </c>
      <c r="M44" s="29"/>
      <c r="N44" s="29"/>
      <c r="O44" s="29"/>
      <c r="P44" s="29"/>
      <c r="Q44" s="29"/>
      <c r="R44" s="29"/>
      <c r="S44" s="29"/>
      <c r="T44" s="31"/>
      <c r="U44" s="31"/>
      <c r="V44" s="31"/>
      <c r="W44" s="31"/>
      <c r="X44" s="31"/>
      <c r="Y44" s="31"/>
      <c r="Z44" s="31"/>
      <c r="AA44" s="31"/>
      <c r="AB44" s="31"/>
      <c r="AC44" s="31"/>
      <c r="AD44" s="28" t="str">
        <f t="shared" si="1"/>
        <v/>
      </c>
      <c r="AE44" s="28"/>
      <c r="AF44" s="10"/>
      <c r="AG44" s="10"/>
      <c r="AH44" s="10"/>
      <c r="AI44" s="10"/>
      <c r="AJ44" s="35"/>
      <c r="AK44" s="35"/>
      <c r="AL44" s="35"/>
      <c r="AM44" s="35"/>
      <c r="AN44" s="35"/>
      <c r="AO44" s="35"/>
      <c r="AP44" s="35"/>
      <c r="AQ44" s="35"/>
      <c r="AR44" s="34"/>
      <c r="AS44" s="34"/>
      <c r="AT44" s="34"/>
      <c r="AU44" s="34"/>
      <c r="AV44" s="34"/>
      <c r="AW44" s="34"/>
      <c r="AX44" s="34"/>
      <c r="AY44" s="34"/>
      <c r="AZ44" s="34"/>
    </row>
    <row r="45" spans="1:52" ht="12.75" customHeight="1">
      <c r="O45" s="36" t="s">
        <v>35</v>
      </c>
      <c r="T45"/>
      <c r="U45"/>
      <c r="V45"/>
      <c r="W45"/>
      <c r="X45"/>
      <c r="Y45"/>
      <c r="Z45"/>
      <c r="AA45"/>
      <c r="AB45"/>
      <c r="AC45"/>
      <c r="AD45"/>
      <c r="AE45"/>
      <c r="AF45" s="33"/>
      <c r="AG45" s="33"/>
      <c r="AH45" s="33"/>
      <c r="AI45" s="33"/>
      <c r="AJ45" s="37" t="s">
        <v>36</v>
      </c>
      <c r="AK45" s="33"/>
      <c r="AL45" s="33"/>
      <c r="AM45" s="10"/>
      <c r="AN45" s="10"/>
      <c r="AO45" s="10"/>
      <c r="AP45" s="10"/>
      <c r="AQ45" s="10"/>
      <c r="AR45" s="10"/>
      <c r="AS45" s="10"/>
      <c r="AT45" s="10"/>
      <c r="AU45" s="10"/>
      <c r="AV45" s="10"/>
      <c r="AW45" s="10"/>
      <c r="AX45" s="10"/>
      <c r="AY45" s="10"/>
      <c r="AZ45" s="10"/>
    </row>
    <row r="46" spans="1:52" ht="12.75" customHeight="1">
      <c r="A46"/>
      <c r="B46"/>
      <c r="C46"/>
      <c r="D46"/>
      <c r="E46"/>
      <c r="F46"/>
      <c r="G46"/>
      <c r="I46" s="21"/>
      <c r="J46" s="21"/>
      <c r="K46" s="21"/>
      <c r="L46" s="21"/>
      <c r="M46" s="14"/>
      <c r="T46"/>
      <c r="U46"/>
      <c r="V46"/>
      <c r="W46"/>
      <c r="X46"/>
      <c r="Y46"/>
      <c r="Z46"/>
      <c r="AA46"/>
      <c r="AB46"/>
      <c r="AC46"/>
      <c r="AD46"/>
      <c r="AE46"/>
      <c r="AF46" s="33"/>
      <c r="AG46" s="33"/>
      <c r="AH46" s="33"/>
      <c r="AI46" s="33"/>
      <c r="AJ46" s="33"/>
      <c r="AK46" s="33"/>
      <c r="AL46" s="33"/>
      <c r="AM46" s="10"/>
      <c r="AN46" s="10"/>
      <c r="AO46" s="10"/>
      <c r="AP46" s="10"/>
      <c r="AQ46" s="10"/>
      <c r="AR46" s="10"/>
      <c r="AS46" s="10"/>
      <c r="AT46" s="10"/>
      <c r="AU46" s="10"/>
      <c r="AV46" s="10"/>
      <c r="AW46" s="10"/>
      <c r="AX46" s="10"/>
      <c r="AY46" s="10"/>
      <c r="AZ46" s="10"/>
    </row>
    <row r="47" spans="1:52" ht="14.1" customHeight="1">
      <c r="A47" s="141" t="s">
        <v>23</v>
      </c>
      <c r="B47" s="141"/>
      <c r="C47" s="142"/>
      <c r="D47" s="143" t="s">
        <v>244</v>
      </c>
      <c r="E47" s="144"/>
      <c r="F47" s="144"/>
      <c r="G47" s="144"/>
      <c r="H47" s="24" t="s">
        <v>3</v>
      </c>
      <c r="I47" s="38">
        <f>AVERAGE(B13:B44,E13:E44,H13:H44)</f>
        <v>42.395833333333336</v>
      </c>
      <c r="J47" s="22"/>
      <c r="K47" s="22"/>
      <c r="L47" s="22"/>
      <c r="M47" s="15"/>
      <c r="T47"/>
      <c r="U47"/>
      <c r="V47"/>
      <c r="W47"/>
      <c r="X47"/>
      <c r="Y47"/>
      <c r="Z47"/>
      <c r="AA47"/>
      <c r="AB47"/>
      <c r="AC47"/>
      <c r="AD47"/>
      <c r="AE47"/>
      <c r="AF47" s="33"/>
      <c r="AG47" s="33"/>
      <c r="AH47" s="33"/>
      <c r="AI47" s="33"/>
      <c r="AJ47" s="33"/>
      <c r="AK47" s="33"/>
      <c r="AL47" s="33"/>
      <c r="AM47" s="10"/>
      <c r="AN47" s="10"/>
      <c r="AO47" s="10"/>
      <c r="AP47" s="10"/>
      <c r="AQ47" s="10"/>
      <c r="AR47" s="10"/>
      <c r="AS47" s="10"/>
      <c r="AT47" s="10"/>
      <c r="AU47" s="10"/>
      <c r="AV47" s="10"/>
      <c r="AW47" s="10"/>
      <c r="AX47" s="10"/>
      <c r="AY47" s="10"/>
      <c r="AZ47" s="10"/>
    </row>
    <row r="48" spans="1:52" ht="15" customHeight="1">
      <c r="A48" s="145" t="s">
        <v>24</v>
      </c>
      <c r="B48" s="146"/>
      <c r="C48" s="147"/>
      <c r="D48" s="145" t="s">
        <v>38</v>
      </c>
      <c r="E48" s="146"/>
      <c r="F48" s="146"/>
      <c r="G48" s="147"/>
      <c r="H48" s="24" t="s">
        <v>4</v>
      </c>
      <c r="I48" s="38">
        <f>STDEV(B13:B44,E13:E44,H13:H44)</f>
        <v>6.0567129641270494</v>
      </c>
      <c r="J48" s="20"/>
      <c r="K48" s="20"/>
      <c r="L48" s="20"/>
      <c r="M48" s="16"/>
      <c r="N48" s="16"/>
      <c r="T48"/>
      <c r="U48"/>
      <c r="V48"/>
      <c r="W48"/>
      <c r="X48"/>
      <c r="Y48"/>
      <c r="Z48"/>
      <c r="AA48"/>
      <c r="AB48"/>
      <c r="AC48"/>
      <c r="AD48"/>
      <c r="AE48"/>
      <c r="AF48" s="33"/>
      <c r="AG48" s="33"/>
      <c r="AH48" s="33"/>
      <c r="AI48" s="33"/>
      <c r="AJ48" s="33"/>
      <c r="AK48" s="33"/>
      <c r="AL48" s="33"/>
      <c r="AM48" s="10"/>
      <c r="AN48" s="10"/>
      <c r="AO48" s="10"/>
      <c r="AP48" s="10"/>
      <c r="AQ48" s="10"/>
      <c r="AR48" s="10"/>
      <c r="AS48" s="10"/>
      <c r="AT48" s="10"/>
      <c r="AU48" s="10"/>
      <c r="AV48" s="10"/>
      <c r="AW48" s="10"/>
      <c r="AX48" s="10"/>
      <c r="AY48" s="10"/>
      <c r="AZ48" s="10"/>
    </row>
    <row r="49" spans="1:38" ht="15" customHeight="1">
      <c r="A49" s="148"/>
      <c r="B49" s="149"/>
      <c r="C49" s="150"/>
      <c r="D49" s="148"/>
      <c r="E49" s="149"/>
      <c r="F49" s="149"/>
      <c r="G49" s="150"/>
      <c r="H49" s="24" t="s">
        <v>5</v>
      </c>
      <c r="I49" s="38">
        <f>MIN(B13:B44,E13:E44,H13:H44)</f>
        <v>30</v>
      </c>
      <c r="J49" s="20"/>
      <c r="K49" s="20"/>
      <c r="L49" s="20"/>
      <c r="M49" s="16"/>
      <c r="N49" s="16"/>
      <c r="T49"/>
      <c r="U49"/>
      <c r="V49"/>
      <c r="W49"/>
      <c r="X49"/>
      <c r="Y49"/>
      <c r="Z49"/>
      <c r="AA49"/>
      <c r="AB49"/>
      <c r="AC49"/>
      <c r="AD49"/>
      <c r="AE49"/>
      <c r="AF49"/>
      <c r="AG49"/>
      <c r="AH49"/>
      <c r="AI49"/>
      <c r="AJ49"/>
      <c r="AK49"/>
      <c r="AL49"/>
    </row>
    <row r="50" spans="1:38" ht="15" customHeight="1">
      <c r="A50" s="151"/>
      <c r="B50" s="152"/>
      <c r="C50" s="153"/>
      <c r="D50" s="151"/>
      <c r="E50" s="152"/>
      <c r="F50" s="152"/>
      <c r="G50" s="153"/>
      <c r="H50" s="24" t="s">
        <v>6</v>
      </c>
      <c r="I50" s="38">
        <f>MAX(B13:B44,E13:E44,H13:H44)</f>
        <v>55</v>
      </c>
      <c r="J50" s="23"/>
      <c r="K50" s="23"/>
      <c r="L50" s="23"/>
      <c r="M50" s="15"/>
      <c r="N50" s="15"/>
      <c r="T50"/>
      <c r="U50"/>
      <c r="V50"/>
      <c r="W50"/>
      <c r="X50"/>
      <c r="Y50"/>
      <c r="Z50"/>
      <c r="AA50"/>
      <c r="AB50"/>
      <c r="AC50"/>
      <c r="AD50"/>
      <c r="AE50"/>
      <c r="AF50"/>
      <c r="AG50"/>
      <c r="AH50"/>
      <c r="AI50"/>
      <c r="AJ50"/>
      <c r="AK50"/>
      <c r="AL50"/>
    </row>
    <row r="51" spans="1:38" ht="12.75" customHeight="1">
      <c r="A51" s="122" t="s">
        <v>37</v>
      </c>
      <c r="B51" s="122"/>
      <c r="C51" s="133"/>
      <c r="D51" s="122" t="s">
        <v>248</v>
      </c>
      <c r="E51" s="123"/>
      <c r="F51" s="123"/>
      <c r="G51" s="123"/>
      <c r="I51" s="22"/>
      <c r="J51" s="22"/>
      <c r="K51" s="22"/>
      <c r="L51" s="22"/>
      <c r="M51" s="15"/>
      <c r="N51" s="15"/>
      <c r="T51"/>
      <c r="U51"/>
      <c r="V51"/>
      <c r="W51"/>
      <c r="X51"/>
      <c r="Y51"/>
      <c r="Z51"/>
      <c r="AA51"/>
      <c r="AB51"/>
      <c r="AC51"/>
      <c r="AD51"/>
      <c r="AE51"/>
      <c r="AF51"/>
      <c r="AG51"/>
      <c r="AH51"/>
      <c r="AI51"/>
      <c r="AJ51"/>
      <c r="AK51"/>
      <c r="AL51"/>
    </row>
    <row r="52" spans="1:38" ht="12.75" customHeight="1">
      <c r="A52" s="122" t="s">
        <v>25</v>
      </c>
      <c r="B52" s="122"/>
      <c r="C52" s="133"/>
      <c r="D52" s="122" t="s">
        <v>9</v>
      </c>
      <c r="E52" s="123"/>
      <c r="F52" s="123"/>
      <c r="G52" s="123"/>
      <c r="I52" s="22"/>
      <c r="J52" s="22"/>
      <c r="K52" s="22"/>
      <c r="L52" s="22"/>
    </row>
    <row r="53" spans="1:38" ht="12.75" customHeight="1">
      <c r="A53" s="134" t="s">
        <v>246</v>
      </c>
      <c r="B53" s="135"/>
      <c r="C53" s="136"/>
      <c r="D53" s="130" t="s">
        <v>245</v>
      </c>
      <c r="E53" s="131"/>
      <c r="F53" s="131"/>
      <c r="G53" s="132"/>
      <c r="I53" s="22"/>
      <c r="J53" s="22"/>
      <c r="K53" s="22"/>
      <c r="L53" s="22"/>
    </row>
    <row r="54" spans="1:38" ht="12.75" customHeight="1">
      <c r="A54" s="137" t="s">
        <v>247</v>
      </c>
      <c r="B54" s="138"/>
      <c r="C54" s="139"/>
      <c r="D54" s="122" t="s">
        <v>255</v>
      </c>
      <c r="E54" s="123"/>
      <c r="F54" s="123"/>
      <c r="G54" s="123"/>
      <c r="I54" s="22"/>
      <c r="J54" s="22"/>
      <c r="K54" s="22"/>
      <c r="L54" s="22"/>
    </row>
    <row r="55" spans="1:38" ht="12" customHeight="1"/>
    <row r="56" spans="1:38" ht="12" customHeight="1">
      <c r="B56" s="19" t="s">
        <v>10</v>
      </c>
      <c r="C56"/>
      <c r="D56"/>
      <c r="E56"/>
    </row>
    <row r="57" spans="1:38" ht="12" customHeight="1"/>
    <row r="58" spans="1:38" ht="12" customHeight="1">
      <c r="A58" s="120" t="s">
        <v>8</v>
      </c>
      <c r="B58" s="102"/>
      <c r="C58" s="102"/>
      <c r="D58" s="124" t="s">
        <v>16</v>
      </c>
      <c r="E58" s="125"/>
      <c r="F58" s="125"/>
      <c r="G58" s="125"/>
      <c r="H58" s="125"/>
      <c r="I58" s="125"/>
      <c r="J58" s="125"/>
      <c r="K58" s="125"/>
      <c r="L58" s="125"/>
      <c r="M58" s="125"/>
      <c r="N58" s="125"/>
      <c r="O58" s="125"/>
      <c r="P58" s="125"/>
      <c r="Q58" s="125"/>
      <c r="R58" s="125"/>
      <c r="S58" s="125"/>
      <c r="T58" s="125"/>
      <c r="U58" s="125"/>
      <c r="V58" s="125"/>
      <c r="W58" s="125"/>
      <c r="X58" s="125"/>
      <c r="Y58" s="125"/>
      <c r="Z58" s="126"/>
      <c r="AA58" s="126"/>
      <c r="AB58" s="102"/>
      <c r="AC58" s="102"/>
      <c r="AD58" s="102"/>
      <c r="AE58" s="102"/>
      <c r="AF58" s="102"/>
      <c r="AG58" s="102"/>
      <c r="AH58" s="103"/>
    </row>
    <row r="59" spans="1:38" ht="12" customHeight="1">
      <c r="A59" s="121"/>
      <c r="B59" s="107"/>
      <c r="C59" s="107"/>
      <c r="D59" s="127"/>
      <c r="E59" s="128"/>
      <c r="F59" s="128"/>
      <c r="G59" s="128"/>
      <c r="H59" s="128"/>
      <c r="I59" s="128"/>
      <c r="J59" s="128"/>
      <c r="K59" s="128"/>
      <c r="L59" s="128"/>
      <c r="M59" s="128"/>
      <c r="N59" s="128"/>
      <c r="O59" s="128"/>
      <c r="P59" s="128"/>
      <c r="Q59" s="128"/>
      <c r="R59" s="128"/>
      <c r="S59" s="128"/>
      <c r="T59" s="128"/>
      <c r="U59" s="128"/>
      <c r="V59" s="128"/>
      <c r="W59" s="128"/>
      <c r="X59" s="128"/>
      <c r="Y59" s="128"/>
      <c r="Z59" s="129"/>
      <c r="AA59" s="129"/>
      <c r="AB59" s="107"/>
      <c r="AC59" s="107"/>
      <c r="AD59" s="107"/>
      <c r="AE59" s="107"/>
      <c r="AF59" s="107"/>
      <c r="AG59" s="107"/>
      <c r="AH59" s="108"/>
    </row>
    <row r="60" spans="1:38" ht="12" customHeight="1"/>
    <row r="61" spans="1:38" ht="12" customHeight="1"/>
    <row r="63" spans="1:38" ht="13.2">
      <c r="A63"/>
      <c r="B63"/>
      <c r="C63"/>
      <c r="D63"/>
      <c r="E63"/>
      <c r="F63"/>
      <c r="G63"/>
      <c r="H63"/>
    </row>
    <row r="64" spans="1:38" ht="13.2">
      <c r="A64"/>
      <c r="B64"/>
      <c r="C64"/>
      <c r="D64"/>
      <c r="E64"/>
      <c r="F64"/>
      <c r="G64"/>
      <c r="H64"/>
    </row>
    <row r="65" spans="1:8" ht="13.2">
      <c r="A65"/>
      <c r="B65"/>
      <c r="C65"/>
      <c r="D65"/>
      <c r="E65"/>
      <c r="F65"/>
      <c r="G65"/>
      <c r="H65"/>
    </row>
    <row r="66" spans="1:8" ht="13.2">
      <c r="A66"/>
      <c r="B66"/>
      <c r="C66"/>
      <c r="D66"/>
      <c r="E66"/>
      <c r="F66"/>
      <c r="G66"/>
      <c r="H66"/>
    </row>
    <row r="67" spans="1:8" ht="13.2">
      <c r="A67"/>
      <c r="B67"/>
      <c r="C67"/>
      <c r="D67"/>
      <c r="E67"/>
      <c r="F67"/>
      <c r="G67"/>
      <c r="H67"/>
    </row>
    <row r="68" spans="1:8" ht="13.2">
      <c r="A68"/>
      <c r="B68"/>
      <c r="C68"/>
      <c r="D68"/>
      <c r="E68"/>
      <c r="F68"/>
      <c r="G68"/>
      <c r="H68"/>
    </row>
    <row r="69" spans="1:8" ht="13.2">
      <c r="A69"/>
      <c r="B69"/>
      <c r="C69"/>
      <c r="D69"/>
      <c r="E69"/>
      <c r="F69"/>
      <c r="G69"/>
      <c r="H69"/>
    </row>
    <row r="70" spans="1:8" ht="13.2">
      <c r="A70"/>
      <c r="B70"/>
      <c r="C70"/>
      <c r="D70"/>
      <c r="E70"/>
      <c r="F70"/>
      <c r="G70"/>
      <c r="H70"/>
    </row>
    <row r="71" spans="1:8" ht="13.2">
      <c r="A71"/>
      <c r="B71"/>
      <c r="C71"/>
      <c r="D71"/>
      <c r="E71"/>
      <c r="F71"/>
      <c r="G71"/>
      <c r="H71"/>
    </row>
  </sheetData>
  <mergeCells count="30">
    <mergeCell ref="H7:AI7"/>
    <mergeCell ref="A51:C51"/>
    <mergeCell ref="A47:C47"/>
    <mergeCell ref="D51:G51"/>
    <mergeCell ref="D47:G47"/>
    <mergeCell ref="D48:G50"/>
    <mergeCell ref="A48:C50"/>
    <mergeCell ref="H9:AI9"/>
    <mergeCell ref="H8:V8"/>
    <mergeCell ref="W8:AI8"/>
    <mergeCell ref="A58:C59"/>
    <mergeCell ref="D52:G52"/>
    <mergeCell ref="D58:AH59"/>
    <mergeCell ref="D54:G54"/>
    <mergeCell ref="D53:G53"/>
    <mergeCell ref="A52:C52"/>
    <mergeCell ref="A53:C53"/>
    <mergeCell ref="A54:C54"/>
    <mergeCell ref="Z1:AI1"/>
    <mergeCell ref="AB3:AI3"/>
    <mergeCell ref="Z4:AI4"/>
    <mergeCell ref="AB5:AI5"/>
    <mergeCell ref="N5:V5"/>
    <mergeCell ref="W5:AA5"/>
    <mergeCell ref="D1:Y1"/>
    <mergeCell ref="A5:D5"/>
    <mergeCell ref="E5:G5"/>
    <mergeCell ref="D2:Y2"/>
    <mergeCell ref="D4:Y4"/>
    <mergeCell ref="H5:M5"/>
  </mergeCells>
  <phoneticPr fontId="0" type="noConversion"/>
  <pageMargins left="0.3" right="0.15" top="0.25" bottom="0.25" header="0.25" footer="0.25"/>
  <pageSetup scale="65"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142"/>
  <sheetViews>
    <sheetView workbookViewId="0">
      <selection activeCell="W13" sqref="W13:W14"/>
    </sheetView>
  </sheetViews>
  <sheetFormatPr defaultRowHeight="13.2"/>
  <cols>
    <col min="6" max="10" width="9.109375" style="25" hidden="1" customWidth="1"/>
    <col min="11" max="11" width="9.109375" style="25" customWidth="1"/>
  </cols>
  <sheetData>
    <row r="1" spans="1:11">
      <c r="A1" t="s">
        <v>22</v>
      </c>
      <c r="F1" s="25" t="s">
        <v>0</v>
      </c>
      <c r="G1" s="25">
        <f ca="1">COLUMN(INDIRECT("'"&amp;F2&amp;"'!"&amp;F1))</f>
        <v>1</v>
      </c>
      <c r="H1" s="25">
        <f ca="1">ROW(INDIRECT("'"&amp;F2&amp;"'!"&amp;F1))</f>
        <v>13</v>
      </c>
      <c r="I1" s="25" t="s">
        <v>26</v>
      </c>
    </row>
    <row r="2" spans="1:11">
      <c r="A2" t="s">
        <v>17</v>
      </c>
      <c r="F2" s="25" t="s">
        <v>11</v>
      </c>
    </row>
    <row r="3" spans="1:11">
      <c r="A3" t="s">
        <v>20</v>
      </c>
      <c r="F3" s="25">
        <f>MAX(arrayrows)</f>
        <v>14</v>
      </c>
      <c r="G3" s="25">
        <f>MIN(arraycols)</f>
        <v>4</v>
      </c>
      <c r="H3" s="25">
        <f ca="1">MAX(K16:K143)</f>
        <v>1</v>
      </c>
    </row>
    <row r="4" spans="1:11">
      <c r="A4" s="26" t="s">
        <v>31</v>
      </c>
    </row>
    <row r="5" spans="1:11">
      <c r="A5" s="26" t="s">
        <v>32</v>
      </c>
    </row>
    <row r="6" spans="1:11">
      <c r="A6" s="26" t="s">
        <v>242</v>
      </c>
    </row>
    <row r="7" spans="1:11">
      <c r="A7" s="26" t="s">
        <v>33</v>
      </c>
    </row>
    <row r="8" spans="1:11">
      <c r="A8" s="26" t="s">
        <v>34</v>
      </c>
    </row>
    <row r="9" spans="1:11">
      <c r="A9" t="s">
        <v>17</v>
      </c>
    </row>
    <row r="10" spans="1:11">
      <c r="A10" t="s">
        <v>18</v>
      </c>
    </row>
    <row r="11" spans="1:11">
      <c r="A11" t="s">
        <v>19</v>
      </c>
    </row>
    <row r="12" spans="1:11">
      <c r="A12" t="s">
        <v>17</v>
      </c>
    </row>
    <row r="13" spans="1:11">
      <c r="A13" t="str">
        <f ca="1">"Cerebus mapping for array "&amp;TRIM(MID(INDIRECT("'"&amp;F2&amp;"'!n5"),FIND("#",INDIRECT("'"&amp;F2&amp;"'!n5"))+1,LEN(INDIRECT("'"&amp;F2&amp;"'!n5"))-FIND("#",INDIRECT("'"&amp;F2&amp;"'!n5"))))&amp;"    "&amp;INDIRECT("'"&amp;F2&amp;"'!Ab5")</f>
        <v>Cerebus mapping for array 1147-31    SN   7623-000080</v>
      </c>
      <c r="G13" s="25" t="s">
        <v>12</v>
      </c>
    </row>
    <row r="14" spans="1:11">
      <c r="A14" s="26" t="s">
        <v>27</v>
      </c>
      <c r="B14" s="27" t="s">
        <v>28</v>
      </c>
      <c r="C14" s="27" t="s">
        <v>29</v>
      </c>
      <c r="D14" s="27" t="s">
        <v>12</v>
      </c>
      <c r="E14" t="s">
        <v>30</v>
      </c>
    </row>
    <row r="15" spans="1:11">
      <c r="A15">
        <f ca="1">IF(H15=0,"",VALUE(LEFT(J15,FIND(",",J15)-1)))</f>
        <v>0</v>
      </c>
      <c r="B15">
        <f ca="1">IF(H15=0,"",ABS(MID(J15,FIND(",",J15)+1,3)))</f>
        <v>8</v>
      </c>
      <c r="C15" t="str">
        <f t="shared" ref="C15:C46" ca="1" si="0">IF(A15="","",LEFT(IF(A15="","",INDEX($F$15:$G$122,MATCH(H15,$G$15:$G$122,0),1)),1))</f>
        <v>C</v>
      </c>
      <c r="D15" t="str">
        <f t="shared" ref="D15:D46" ca="1" si="1">IF(C15="","",TRIM(RIGHT(IF(C15="","",INDEX($F$15:$G$122,MATCH(H15,$G$15:$G$122,0),1)),2)))</f>
        <v>31</v>
      </c>
      <c r="E15" t="str">
        <f ca="1">IF(H15=0,"","elec"&amp;IF($H$3&gt;1,K15&amp;"-","")&amp;H15)</f>
        <v>elec96</v>
      </c>
      <c r="F15" s="25" t="s">
        <v>13</v>
      </c>
      <c r="G15" s="25">
        <f t="shared" ref="G15:G46" ca="1" si="2">INDIRECT("'"&amp;$F$2&amp;"'!R"&amp;(VALUE(MID($F15,3,2))-1)+$H$1&amp;"C"&amp;$G$1+CHOOSE(IF(LEFT($F15,1)="A",1,IF(LEFT($F15,1)="B",2,IF(LEFT($F15,1)="C",3,4))),2,5,8,11),0)</f>
        <v>17</v>
      </c>
      <c r="H15" s="25">
        <f ca="1">I15</f>
        <v>96</v>
      </c>
      <c r="I15" s="25">
        <f ca="1">MAX(G15:G122)</f>
        <v>96</v>
      </c>
      <c r="J15" s="25" t="str">
        <f ca="1">IF(H15=0,0,TableSearch(H15,arrayspace,$G$3,$F$3))</f>
        <v>0,-8</v>
      </c>
      <c r="K15" s="25">
        <f ca="1">IF(H15=0,0,INDIRECT("'"&amp;$F$2&amp;"'!"&amp;$I$1&amp;(-B15+$F$3+11)))</f>
        <v>1</v>
      </c>
    </row>
    <row r="16" spans="1:11">
      <c r="A16">
        <f t="shared" ref="A16:A79" ca="1" si="3">IF(H16=0,"",VALUE(LEFT(J16,FIND(",",J16)-1)))</f>
        <v>0</v>
      </c>
      <c r="B16">
        <f t="shared" ref="B16:B79" ca="1" si="4">IF(H16=0,"",ABS(MID(J16,FIND(",",J16)+1,3)))</f>
        <v>7</v>
      </c>
      <c r="C16" t="str">
        <f t="shared" ca="1" si="0"/>
        <v>C</v>
      </c>
      <c r="D16" t="str">
        <f t="shared" ca="1" si="1"/>
        <v>29</v>
      </c>
      <c r="E16" t="str">
        <f t="shared" ref="E16:E79" ca="1" si="5">IF(H16=0,"","elec"&amp;IF($H$3&gt;1,K16&amp;"-","")&amp;H16)</f>
        <v>elec95</v>
      </c>
      <c r="F16" s="25" t="str">
        <f t="shared" ref="F16:F46" si="6">LEFT(F15,1)&amp;" "&amp;VALUE(MID(F15,3,2))+1</f>
        <v>A 2</v>
      </c>
      <c r="G16" s="25">
        <f t="shared" ca="1" si="2"/>
        <v>1</v>
      </c>
      <c r="H16" s="25">
        <f t="shared" ref="H16:H47" ca="1" si="7">IF(H15=0,0,MAX(INDIRECT("i"&amp;MATCH(H15,I:I,)+1&amp;":i141")))</f>
        <v>95</v>
      </c>
      <c r="I16" s="25">
        <f ca="1">IF(ISNA(MATCH($I$15-(ROW()-15),$G$15:$G$122,0)),0,$I$15-(ROW()-15))</f>
        <v>95</v>
      </c>
      <c r="J16" s="25" t="str">
        <f ca="1">IF(H16=0,0,TableSearch(H16,arrayspace,$G$3,$F$3))</f>
        <v>0,-7</v>
      </c>
      <c r="K16" s="25">
        <f t="shared" ref="K16:K79" ca="1" si="8">IF(H16=0,0,INDIRECT("'"&amp;$F$2&amp;"'!"&amp;$I$1&amp;(-B16+$F$3+11)))</f>
        <v>1</v>
      </c>
    </row>
    <row r="17" spans="1:11">
      <c r="A17">
        <f t="shared" ca="1" si="3"/>
        <v>0</v>
      </c>
      <c r="B17">
        <f t="shared" ca="1" si="4"/>
        <v>6</v>
      </c>
      <c r="C17" t="str">
        <f t="shared" ca="1" si="0"/>
        <v>C</v>
      </c>
      <c r="D17" t="str">
        <f t="shared" ca="1" si="1"/>
        <v>27</v>
      </c>
      <c r="E17" t="str">
        <f t="shared" ca="1" si="5"/>
        <v>elec94</v>
      </c>
      <c r="F17" s="25" t="str">
        <f t="shared" si="6"/>
        <v>A 3</v>
      </c>
      <c r="G17" s="25">
        <f t="shared" ca="1" si="2"/>
        <v>18</v>
      </c>
      <c r="H17" s="25">
        <f t="shared" ca="1" si="7"/>
        <v>94</v>
      </c>
      <c r="I17" s="25">
        <f t="shared" ref="I17:I80" ca="1" si="9">IF(ISNA(MATCH($I$15-(ROW()-15),$G$15:$G$122,0)),0,$I$15-(ROW()-15))</f>
        <v>94</v>
      </c>
      <c r="J17" s="25" t="str">
        <f ca="1">IF(H17=0,0,TableSearch(H17,arrayspace,$G$3,$F$3))</f>
        <v>0,-6</v>
      </c>
      <c r="K17" s="25">
        <f t="shared" ca="1" si="8"/>
        <v>1</v>
      </c>
    </row>
    <row r="18" spans="1:11">
      <c r="A18">
        <f t="shared" ca="1" si="3"/>
        <v>0</v>
      </c>
      <c r="B18">
        <f t="shared" ca="1" si="4"/>
        <v>5</v>
      </c>
      <c r="C18" t="str">
        <f t="shared" ca="1" si="0"/>
        <v>C</v>
      </c>
      <c r="D18" t="str">
        <f t="shared" ca="1" si="1"/>
        <v>25</v>
      </c>
      <c r="E18" t="str">
        <f t="shared" ca="1" si="5"/>
        <v>elec93</v>
      </c>
      <c r="F18" s="25" t="str">
        <f t="shared" si="6"/>
        <v>A 4</v>
      </c>
      <c r="G18" s="25">
        <f t="shared" ca="1" si="2"/>
        <v>2</v>
      </c>
      <c r="H18" s="25">
        <f t="shared" ca="1" si="7"/>
        <v>93</v>
      </c>
      <c r="I18" s="25">
        <f t="shared" ca="1" si="9"/>
        <v>93</v>
      </c>
      <c r="J18" s="25" t="str">
        <f ca="1">IF(H18=0,0,TableSearch(H18,arrayspace,$G$3,$F$3))</f>
        <v>0,-5</v>
      </c>
      <c r="K18" s="25">
        <f t="shared" ca="1" si="8"/>
        <v>1</v>
      </c>
    </row>
    <row r="19" spans="1:11">
      <c r="A19">
        <f t="shared" ca="1" si="3"/>
        <v>0</v>
      </c>
      <c r="B19">
        <f t="shared" ca="1" si="4"/>
        <v>4</v>
      </c>
      <c r="C19" t="str">
        <f t="shared" ca="1" si="0"/>
        <v>C</v>
      </c>
      <c r="D19" t="str">
        <f t="shared" ca="1" si="1"/>
        <v>23</v>
      </c>
      <c r="E19" t="str">
        <f t="shared" ca="1" si="5"/>
        <v>elec92</v>
      </c>
      <c r="F19" s="25" t="str">
        <f t="shared" si="6"/>
        <v>A 5</v>
      </c>
      <c r="G19" s="25">
        <f t="shared" ca="1" si="2"/>
        <v>19</v>
      </c>
      <c r="H19" s="25">
        <f t="shared" ca="1" si="7"/>
        <v>92</v>
      </c>
      <c r="I19" s="25">
        <f t="shared" ca="1" si="9"/>
        <v>92</v>
      </c>
      <c r="J19" s="25" t="str">
        <f ca="1">IF(H19=0,0,TableSearch(H19,arrayspace,$G$3,$F$3))</f>
        <v>0,-4</v>
      </c>
      <c r="K19" s="25">
        <f t="shared" ca="1" si="8"/>
        <v>1</v>
      </c>
    </row>
    <row r="20" spans="1:11">
      <c r="A20">
        <f t="shared" ca="1" si="3"/>
        <v>0</v>
      </c>
      <c r="B20">
        <f t="shared" ca="1" si="4"/>
        <v>3</v>
      </c>
      <c r="C20" t="str">
        <f t="shared" ca="1" si="0"/>
        <v>C</v>
      </c>
      <c r="D20" t="str">
        <f t="shared" ca="1" si="1"/>
        <v>21</v>
      </c>
      <c r="E20" t="str">
        <f t="shared" ca="1" si="5"/>
        <v>elec91</v>
      </c>
      <c r="F20" s="25" t="str">
        <f t="shared" si="6"/>
        <v>A 6</v>
      </c>
      <c r="G20" s="25">
        <f t="shared" ca="1" si="2"/>
        <v>3</v>
      </c>
      <c r="H20" s="25">
        <f t="shared" ca="1" si="7"/>
        <v>91</v>
      </c>
      <c r="I20" s="25">
        <f t="shared" ca="1" si="9"/>
        <v>91</v>
      </c>
      <c r="J20" s="25" t="str">
        <f ca="1">IF(H20=0,0,TableSearch(H20,arrayspace,$G$3,$F$3))</f>
        <v>0,-3</v>
      </c>
      <c r="K20" s="25">
        <f t="shared" ca="1" si="8"/>
        <v>1</v>
      </c>
    </row>
    <row r="21" spans="1:11">
      <c r="A21">
        <f t="shared" ca="1" si="3"/>
        <v>0</v>
      </c>
      <c r="B21">
        <f t="shared" ca="1" si="4"/>
        <v>2</v>
      </c>
      <c r="C21" t="str">
        <f t="shared" ca="1" si="0"/>
        <v>C</v>
      </c>
      <c r="D21" t="str">
        <f t="shared" ca="1" si="1"/>
        <v>19</v>
      </c>
      <c r="E21" t="str">
        <f t="shared" ca="1" si="5"/>
        <v>elec90</v>
      </c>
      <c r="F21" s="25" t="str">
        <f t="shared" si="6"/>
        <v>A 7</v>
      </c>
      <c r="G21" s="25">
        <f t="shared" ca="1" si="2"/>
        <v>20</v>
      </c>
      <c r="H21" s="25">
        <f t="shared" ca="1" si="7"/>
        <v>90</v>
      </c>
      <c r="I21" s="25">
        <f t="shared" ca="1" si="9"/>
        <v>90</v>
      </c>
      <c r="J21" s="25" t="str">
        <f ca="1">IF(H21=0,0,TableSearch(H21,arrayspace,$G$3,$F$3))</f>
        <v>0,-2</v>
      </c>
      <c r="K21" s="25">
        <f t="shared" ca="1" si="8"/>
        <v>1</v>
      </c>
    </row>
    <row r="22" spans="1:11">
      <c r="A22">
        <f t="shared" ca="1" si="3"/>
        <v>0</v>
      </c>
      <c r="B22">
        <f t="shared" ca="1" si="4"/>
        <v>1</v>
      </c>
      <c r="C22" t="str">
        <f t="shared" ca="1" si="0"/>
        <v>C</v>
      </c>
      <c r="D22" t="str">
        <f t="shared" ca="1" si="1"/>
        <v>17</v>
      </c>
      <c r="E22" t="str">
        <f t="shared" ca="1" si="5"/>
        <v>elec89</v>
      </c>
      <c r="F22" s="25" t="str">
        <f t="shared" si="6"/>
        <v>A 8</v>
      </c>
      <c r="G22" s="25">
        <f t="shared" ca="1" si="2"/>
        <v>4</v>
      </c>
      <c r="H22" s="25">
        <f t="shared" ca="1" si="7"/>
        <v>89</v>
      </c>
      <c r="I22" s="25">
        <f t="shared" ca="1" si="9"/>
        <v>89</v>
      </c>
      <c r="J22" s="25" t="str">
        <f ca="1">IF(H22=0,0,TableSearch(H22,arrayspace,$G$3,$F$3))</f>
        <v>0,-1</v>
      </c>
      <c r="K22" s="25">
        <f t="shared" ca="1" si="8"/>
        <v>1</v>
      </c>
    </row>
    <row r="23" spans="1:11">
      <c r="A23">
        <f t="shared" ca="1" si="3"/>
        <v>1</v>
      </c>
      <c r="B23">
        <f t="shared" ca="1" si="4"/>
        <v>9</v>
      </c>
      <c r="C23" t="str">
        <f t="shared" ca="1" si="0"/>
        <v>C</v>
      </c>
      <c r="D23" t="str">
        <f t="shared" ca="1" si="1"/>
        <v>15</v>
      </c>
      <c r="E23" t="str">
        <f t="shared" ca="1" si="5"/>
        <v>elec88</v>
      </c>
      <c r="F23" s="25" t="str">
        <f t="shared" si="6"/>
        <v>A 9</v>
      </c>
      <c r="G23" s="25">
        <f t="shared" ca="1" si="2"/>
        <v>21</v>
      </c>
      <c r="H23" s="25">
        <f t="shared" ca="1" si="7"/>
        <v>88</v>
      </c>
      <c r="I23" s="25">
        <f t="shared" ca="1" si="9"/>
        <v>88</v>
      </c>
      <c r="J23" s="25" t="str">
        <f ca="1">IF(H23=0,0,TableSearch(H23,arrayspace,$G$3,$F$3))</f>
        <v>1,-9</v>
      </c>
      <c r="K23" s="25">
        <f t="shared" ca="1" si="8"/>
        <v>1</v>
      </c>
    </row>
    <row r="24" spans="1:11">
      <c r="A24">
        <f t="shared" ca="1" si="3"/>
        <v>1</v>
      </c>
      <c r="B24">
        <f t="shared" ca="1" si="4"/>
        <v>8</v>
      </c>
      <c r="C24" t="str">
        <f t="shared" ca="1" si="0"/>
        <v>C</v>
      </c>
      <c r="D24" t="str">
        <f t="shared" ca="1" si="1"/>
        <v>13</v>
      </c>
      <c r="E24" t="str">
        <f t="shared" ca="1" si="5"/>
        <v>elec87</v>
      </c>
      <c r="F24" s="25" t="str">
        <f t="shared" si="6"/>
        <v>A 10</v>
      </c>
      <c r="G24" s="25">
        <f t="shared" ca="1" si="2"/>
        <v>5</v>
      </c>
      <c r="H24" s="25">
        <f t="shared" ca="1" si="7"/>
        <v>87</v>
      </c>
      <c r="I24" s="25">
        <f t="shared" ca="1" si="9"/>
        <v>87</v>
      </c>
      <c r="J24" s="25" t="str">
        <f ca="1">IF(H24=0,0,TableSearch(H24,arrayspace,$G$3,$F$3))</f>
        <v>1,-8</v>
      </c>
      <c r="K24" s="25">
        <f t="shared" ca="1" si="8"/>
        <v>1</v>
      </c>
    </row>
    <row r="25" spans="1:11">
      <c r="A25">
        <f t="shared" ca="1" si="3"/>
        <v>1</v>
      </c>
      <c r="B25">
        <f t="shared" ca="1" si="4"/>
        <v>7</v>
      </c>
      <c r="C25" t="str">
        <f t="shared" ca="1" si="0"/>
        <v>C</v>
      </c>
      <c r="D25" t="str">
        <f t="shared" ca="1" si="1"/>
        <v>11</v>
      </c>
      <c r="E25" t="str">
        <f t="shared" ca="1" si="5"/>
        <v>elec86</v>
      </c>
      <c r="F25" s="25" t="str">
        <f t="shared" si="6"/>
        <v>A 11</v>
      </c>
      <c r="G25" s="25">
        <f t="shared" ca="1" si="2"/>
        <v>22</v>
      </c>
      <c r="H25" s="25">
        <f t="shared" ca="1" si="7"/>
        <v>86</v>
      </c>
      <c r="I25" s="25">
        <f t="shared" ca="1" si="9"/>
        <v>86</v>
      </c>
      <c r="J25" s="25" t="str">
        <f ca="1">IF(H25=0,0,TableSearch(H25,arrayspace,$G$3,$F$3))</f>
        <v>1,-7</v>
      </c>
      <c r="K25" s="25">
        <f t="shared" ca="1" si="8"/>
        <v>1</v>
      </c>
    </row>
    <row r="26" spans="1:11">
      <c r="A26">
        <f t="shared" ca="1" si="3"/>
        <v>1</v>
      </c>
      <c r="B26">
        <f t="shared" ca="1" si="4"/>
        <v>6</v>
      </c>
      <c r="C26" t="str">
        <f t="shared" ca="1" si="0"/>
        <v>C</v>
      </c>
      <c r="D26" t="str">
        <f t="shared" ca="1" si="1"/>
        <v>9</v>
      </c>
      <c r="E26" t="str">
        <f t="shared" ca="1" si="5"/>
        <v>elec85</v>
      </c>
      <c r="F26" s="25" t="str">
        <f t="shared" si="6"/>
        <v>A 12</v>
      </c>
      <c r="G26" s="25">
        <f t="shared" ca="1" si="2"/>
        <v>6</v>
      </c>
      <c r="H26" s="25">
        <f t="shared" ca="1" si="7"/>
        <v>85</v>
      </c>
      <c r="I26" s="25">
        <f t="shared" ca="1" si="9"/>
        <v>85</v>
      </c>
      <c r="J26" s="25" t="str">
        <f ca="1">IF(H26=0,0,TableSearch(H26,arrayspace,$G$3,$F$3))</f>
        <v>1,-6</v>
      </c>
      <c r="K26" s="25">
        <f t="shared" ca="1" si="8"/>
        <v>1</v>
      </c>
    </row>
    <row r="27" spans="1:11">
      <c r="A27">
        <f t="shared" ca="1" si="3"/>
        <v>1</v>
      </c>
      <c r="B27">
        <f t="shared" ca="1" si="4"/>
        <v>5</v>
      </c>
      <c r="C27" t="str">
        <f t="shared" ca="1" si="0"/>
        <v>C</v>
      </c>
      <c r="D27" t="str">
        <f t="shared" ca="1" si="1"/>
        <v>7</v>
      </c>
      <c r="E27" t="str">
        <f t="shared" ca="1" si="5"/>
        <v>elec84</v>
      </c>
      <c r="F27" s="25" t="str">
        <f t="shared" si="6"/>
        <v>A 13</v>
      </c>
      <c r="G27" s="25">
        <f t="shared" ca="1" si="2"/>
        <v>23</v>
      </c>
      <c r="H27" s="25">
        <f t="shared" ca="1" si="7"/>
        <v>84</v>
      </c>
      <c r="I27" s="25">
        <f t="shared" ca="1" si="9"/>
        <v>84</v>
      </c>
      <c r="J27" s="25" t="str">
        <f ca="1">IF(H27=0,0,TableSearch(H27,arrayspace,$G$3,$F$3))</f>
        <v>1,-5</v>
      </c>
      <c r="K27" s="25">
        <f t="shared" ca="1" si="8"/>
        <v>1</v>
      </c>
    </row>
    <row r="28" spans="1:11">
      <c r="A28">
        <f t="shared" ca="1" si="3"/>
        <v>1</v>
      </c>
      <c r="B28">
        <f t="shared" ca="1" si="4"/>
        <v>4</v>
      </c>
      <c r="C28" t="str">
        <f t="shared" ca="1" si="0"/>
        <v>C</v>
      </c>
      <c r="D28" t="str">
        <f t="shared" ca="1" si="1"/>
        <v>5</v>
      </c>
      <c r="E28" t="str">
        <f t="shared" ca="1" si="5"/>
        <v>elec83</v>
      </c>
      <c r="F28" s="25" t="str">
        <f t="shared" si="6"/>
        <v>A 14</v>
      </c>
      <c r="G28" s="25">
        <f t="shared" ca="1" si="2"/>
        <v>7</v>
      </c>
      <c r="H28" s="25">
        <f t="shared" ca="1" si="7"/>
        <v>83</v>
      </c>
      <c r="I28" s="25">
        <f t="shared" ca="1" si="9"/>
        <v>83</v>
      </c>
      <c r="J28" s="25" t="str">
        <f ca="1">IF(H28=0,0,TableSearch(H28,arrayspace,$G$3,$F$3))</f>
        <v>1,-4</v>
      </c>
      <c r="K28" s="25">
        <f t="shared" ca="1" si="8"/>
        <v>1</v>
      </c>
    </row>
    <row r="29" spans="1:11">
      <c r="A29">
        <f t="shared" ca="1" si="3"/>
        <v>1</v>
      </c>
      <c r="B29">
        <f t="shared" ca="1" si="4"/>
        <v>3</v>
      </c>
      <c r="C29" t="str">
        <f t="shared" ca="1" si="0"/>
        <v>C</v>
      </c>
      <c r="D29" t="str">
        <f t="shared" ca="1" si="1"/>
        <v>3</v>
      </c>
      <c r="E29" t="str">
        <f t="shared" ca="1" si="5"/>
        <v>elec82</v>
      </c>
      <c r="F29" s="25" t="str">
        <f t="shared" si="6"/>
        <v>A 15</v>
      </c>
      <c r="G29" s="25">
        <f t="shared" ca="1" si="2"/>
        <v>24</v>
      </c>
      <c r="H29" s="25">
        <f t="shared" ca="1" si="7"/>
        <v>82</v>
      </c>
      <c r="I29" s="25">
        <f t="shared" ca="1" si="9"/>
        <v>82</v>
      </c>
      <c r="J29" s="25" t="str">
        <f ca="1">IF(H29=0,0,TableSearch(H29,arrayspace,$G$3,$F$3))</f>
        <v>1,-3</v>
      </c>
      <c r="K29" s="25">
        <f t="shared" ca="1" si="8"/>
        <v>1</v>
      </c>
    </row>
    <row r="30" spans="1:11">
      <c r="A30">
        <f t="shared" ca="1" si="3"/>
        <v>1</v>
      </c>
      <c r="B30">
        <f t="shared" ca="1" si="4"/>
        <v>2</v>
      </c>
      <c r="C30" t="str">
        <f t="shared" ca="1" si="0"/>
        <v>C</v>
      </c>
      <c r="D30" t="str">
        <f t="shared" ca="1" si="1"/>
        <v>1</v>
      </c>
      <c r="E30" t="str">
        <f t="shared" ca="1" si="5"/>
        <v>elec81</v>
      </c>
      <c r="F30" s="25" t="str">
        <f t="shared" si="6"/>
        <v>A 16</v>
      </c>
      <c r="G30" s="25">
        <f t="shared" ca="1" si="2"/>
        <v>8</v>
      </c>
      <c r="H30" s="25">
        <f t="shared" ca="1" si="7"/>
        <v>81</v>
      </c>
      <c r="I30" s="25">
        <f t="shared" ca="1" si="9"/>
        <v>81</v>
      </c>
      <c r="J30" s="25" t="str">
        <f ca="1">IF(H30=0,0,TableSearch(H30,arrayspace,$G$3,$F$3))</f>
        <v>1,-2</v>
      </c>
      <c r="K30" s="25">
        <f t="shared" ca="1" si="8"/>
        <v>1</v>
      </c>
    </row>
    <row r="31" spans="1:11">
      <c r="A31">
        <f t="shared" ca="1" si="3"/>
        <v>1</v>
      </c>
      <c r="B31">
        <f t="shared" ca="1" si="4"/>
        <v>1</v>
      </c>
      <c r="C31" t="str">
        <f t="shared" ca="1" si="0"/>
        <v>C</v>
      </c>
      <c r="D31" t="str">
        <f t="shared" ca="1" si="1"/>
        <v>32</v>
      </c>
      <c r="E31" t="str">
        <f t="shared" ca="1" si="5"/>
        <v>elec80</v>
      </c>
      <c r="F31" s="25" t="str">
        <f t="shared" si="6"/>
        <v>A 17</v>
      </c>
      <c r="G31" s="25">
        <f t="shared" ca="1" si="2"/>
        <v>25</v>
      </c>
      <c r="H31" s="25">
        <f t="shared" ca="1" si="7"/>
        <v>80</v>
      </c>
      <c r="I31" s="25">
        <f t="shared" ca="1" si="9"/>
        <v>80</v>
      </c>
      <c r="J31" s="25" t="str">
        <f ca="1">IF(H31=0,0,TableSearch(H31,arrayspace,$G$3,$F$3))</f>
        <v>1,-1</v>
      </c>
      <c r="K31" s="25">
        <f t="shared" ca="1" si="8"/>
        <v>1</v>
      </c>
    </row>
    <row r="32" spans="1:11">
      <c r="A32">
        <f t="shared" ca="1" si="3"/>
        <v>1</v>
      </c>
      <c r="B32">
        <f t="shared" ca="1" si="4"/>
        <v>0</v>
      </c>
      <c r="C32" t="str">
        <f t="shared" ca="1" si="0"/>
        <v>C</v>
      </c>
      <c r="D32" t="str">
        <f t="shared" ca="1" si="1"/>
        <v>30</v>
      </c>
      <c r="E32" t="str">
        <f t="shared" ca="1" si="5"/>
        <v>elec79</v>
      </c>
      <c r="F32" s="25" t="str">
        <f t="shared" si="6"/>
        <v>A 18</v>
      </c>
      <c r="G32" s="25">
        <f t="shared" ca="1" si="2"/>
        <v>9</v>
      </c>
      <c r="H32" s="25">
        <f t="shared" ca="1" si="7"/>
        <v>79</v>
      </c>
      <c r="I32" s="25">
        <f t="shared" ca="1" si="9"/>
        <v>79</v>
      </c>
      <c r="J32" s="25" t="str">
        <f ca="1">IF(H32=0,0,TableSearch(H32,arrayspace,$G$3,$F$3))</f>
        <v>1,0</v>
      </c>
      <c r="K32" s="25">
        <f t="shared" ca="1" si="8"/>
        <v>1</v>
      </c>
    </row>
    <row r="33" spans="1:11">
      <c r="A33">
        <f t="shared" ca="1" si="3"/>
        <v>2</v>
      </c>
      <c r="B33">
        <f t="shared" ca="1" si="4"/>
        <v>9</v>
      </c>
      <c r="C33" t="str">
        <f t="shared" ca="1" si="0"/>
        <v>C</v>
      </c>
      <c r="D33" t="str">
        <f t="shared" ca="1" si="1"/>
        <v>28</v>
      </c>
      <c r="E33" t="str">
        <f t="shared" ca="1" si="5"/>
        <v>elec78</v>
      </c>
      <c r="F33" s="25" t="str">
        <f t="shared" si="6"/>
        <v>A 19</v>
      </c>
      <c r="G33" s="25">
        <f t="shared" ca="1" si="2"/>
        <v>26</v>
      </c>
      <c r="H33" s="25">
        <f t="shared" ca="1" si="7"/>
        <v>78</v>
      </c>
      <c r="I33" s="25">
        <f t="shared" ca="1" si="9"/>
        <v>78</v>
      </c>
      <c r="J33" s="25" t="str">
        <f ca="1">IF(H33=0,0,TableSearch(H33,arrayspace,$G$3,$F$3))</f>
        <v>2,-9</v>
      </c>
      <c r="K33" s="25">
        <f t="shared" ca="1" si="8"/>
        <v>1</v>
      </c>
    </row>
    <row r="34" spans="1:11">
      <c r="A34">
        <f t="shared" ca="1" si="3"/>
        <v>2</v>
      </c>
      <c r="B34">
        <f t="shared" ca="1" si="4"/>
        <v>8</v>
      </c>
      <c r="C34" t="str">
        <f t="shared" ca="1" si="0"/>
        <v>C</v>
      </c>
      <c r="D34" t="str">
        <f t="shared" ca="1" si="1"/>
        <v>26</v>
      </c>
      <c r="E34" t="str">
        <f t="shared" ca="1" si="5"/>
        <v>elec77</v>
      </c>
      <c r="F34" s="25" t="str">
        <f t="shared" si="6"/>
        <v>A 20</v>
      </c>
      <c r="G34" s="25">
        <f t="shared" ca="1" si="2"/>
        <v>10</v>
      </c>
      <c r="H34" s="25">
        <f t="shared" ca="1" si="7"/>
        <v>77</v>
      </c>
      <c r="I34" s="25">
        <f t="shared" ca="1" si="9"/>
        <v>77</v>
      </c>
      <c r="J34" s="25" t="str">
        <f ca="1">IF(H34=0,0,TableSearch(H34,arrayspace,$G$3,$F$3))</f>
        <v>2,-8</v>
      </c>
      <c r="K34" s="25">
        <f t="shared" ca="1" si="8"/>
        <v>1</v>
      </c>
    </row>
    <row r="35" spans="1:11">
      <c r="A35">
        <f t="shared" ca="1" si="3"/>
        <v>2</v>
      </c>
      <c r="B35">
        <f t="shared" ca="1" si="4"/>
        <v>7</v>
      </c>
      <c r="C35" t="str">
        <f t="shared" ca="1" si="0"/>
        <v>C</v>
      </c>
      <c r="D35" t="str">
        <f t="shared" ca="1" si="1"/>
        <v>24</v>
      </c>
      <c r="E35" t="str">
        <f t="shared" ca="1" si="5"/>
        <v>elec76</v>
      </c>
      <c r="F35" s="25" t="str">
        <f t="shared" si="6"/>
        <v>A 21</v>
      </c>
      <c r="G35" s="25">
        <f t="shared" ca="1" si="2"/>
        <v>27</v>
      </c>
      <c r="H35" s="25">
        <f t="shared" ca="1" si="7"/>
        <v>76</v>
      </c>
      <c r="I35" s="25">
        <f t="shared" ca="1" si="9"/>
        <v>76</v>
      </c>
      <c r="J35" s="25" t="str">
        <f ca="1">IF(H35=0,0,TableSearch(H35,arrayspace,$G$3,$F$3))</f>
        <v>2,-7</v>
      </c>
      <c r="K35" s="25">
        <f t="shared" ca="1" si="8"/>
        <v>1</v>
      </c>
    </row>
    <row r="36" spans="1:11">
      <c r="A36">
        <f t="shared" ca="1" si="3"/>
        <v>2</v>
      </c>
      <c r="B36">
        <f t="shared" ca="1" si="4"/>
        <v>6</v>
      </c>
      <c r="C36" t="str">
        <f t="shared" ca="1" si="0"/>
        <v>C</v>
      </c>
      <c r="D36" t="str">
        <f t="shared" ca="1" si="1"/>
        <v>22</v>
      </c>
      <c r="E36" t="str">
        <f t="shared" ca="1" si="5"/>
        <v>elec75</v>
      </c>
      <c r="F36" s="25" t="str">
        <f t="shared" si="6"/>
        <v>A 22</v>
      </c>
      <c r="G36" s="25">
        <f t="shared" ca="1" si="2"/>
        <v>11</v>
      </c>
      <c r="H36" s="25">
        <f t="shared" ca="1" si="7"/>
        <v>75</v>
      </c>
      <c r="I36" s="25">
        <f t="shared" ca="1" si="9"/>
        <v>75</v>
      </c>
      <c r="J36" s="25" t="str">
        <f ca="1">IF(H36=0,0,TableSearch(H36,arrayspace,$G$3,$F$3))</f>
        <v>2,-6</v>
      </c>
      <c r="K36" s="25">
        <f t="shared" ca="1" si="8"/>
        <v>1</v>
      </c>
    </row>
    <row r="37" spans="1:11">
      <c r="A37">
        <f t="shared" ca="1" si="3"/>
        <v>2</v>
      </c>
      <c r="B37">
        <f t="shared" ca="1" si="4"/>
        <v>5</v>
      </c>
      <c r="C37" t="str">
        <f t="shared" ca="1" si="0"/>
        <v>C</v>
      </c>
      <c r="D37" t="str">
        <f t="shared" ca="1" si="1"/>
        <v>20</v>
      </c>
      <c r="E37" t="str">
        <f t="shared" ca="1" si="5"/>
        <v>elec74</v>
      </c>
      <c r="F37" s="25" t="str">
        <f t="shared" si="6"/>
        <v>A 23</v>
      </c>
      <c r="G37" s="25">
        <f t="shared" ca="1" si="2"/>
        <v>28</v>
      </c>
      <c r="H37" s="25">
        <f t="shared" ca="1" si="7"/>
        <v>74</v>
      </c>
      <c r="I37" s="25">
        <f t="shared" ca="1" si="9"/>
        <v>74</v>
      </c>
      <c r="J37" s="25" t="str">
        <f ca="1">IF(H37=0,0,TableSearch(H37,arrayspace,$G$3,$F$3))</f>
        <v>2,-5</v>
      </c>
      <c r="K37" s="25">
        <f t="shared" ca="1" si="8"/>
        <v>1</v>
      </c>
    </row>
    <row r="38" spans="1:11">
      <c r="A38">
        <f t="shared" ca="1" si="3"/>
        <v>2</v>
      </c>
      <c r="B38">
        <f t="shared" ca="1" si="4"/>
        <v>4</v>
      </c>
      <c r="C38" t="str">
        <f t="shared" ca="1" si="0"/>
        <v>C</v>
      </c>
      <c r="D38" t="str">
        <f t="shared" ca="1" si="1"/>
        <v>18</v>
      </c>
      <c r="E38" t="str">
        <f t="shared" ca="1" si="5"/>
        <v>elec73</v>
      </c>
      <c r="F38" s="25" t="str">
        <f t="shared" si="6"/>
        <v>A 24</v>
      </c>
      <c r="G38" s="25">
        <f t="shared" ca="1" si="2"/>
        <v>12</v>
      </c>
      <c r="H38" s="25">
        <f t="shared" ca="1" si="7"/>
        <v>73</v>
      </c>
      <c r="I38" s="25">
        <f t="shared" ca="1" si="9"/>
        <v>73</v>
      </c>
      <c r="J38" s="25" t="str">
        <f ca="1">IF(H38=0,0,TableSearch(H38,arrayspace,$G$3,$F$3))</f>
        <v>2,-4</v>
      </c>
      <c r="K38" s="25">
        <f t="shared" ca="1" si="8"/>
        <v>1</v>
      </c>
    </row>
    <row r="39" spans="1:11">
      <c r="A39">
        <f t="shared" ca="1" si="3"/>
        <v>2</v>
      </c>
      <c r="B39">
        <f t="shared" ca="1" si="4"/>
        <v>3</v>
      </c>
      <c r="C39" t="str">
        <f t="shared" ca="1" si="0"/>
        <v>C</v>
      </c>
      <c r="D39" t="str">
        <f t="shared" ca="1" si="1"/>
        <v>16</v>
      </c>
      <c r="E39" t="str">
        <f t="shared" ca="1" si="5"/>
        <v>elec72</v>
      </c>
      <c r="F39" s="25" t="str">
        <f t="shared" si="6"/>
        <v>A 25</v>
      </c>
      <c r="G39" s="25">
        <f t="shared" ca="1" si="2"/>
        <v>29</v>
      </c>
      <c r="H39" s="25">
        <f t="shared" ca="1" si="7"/>
        <v>72</v>
      </c>
      <c r="I39" s="25">
        <f t="shared" ca="1" si="9"/>
        <v>72</v>
      </c>
      <c r="J39" s="25" t="str">
        <f ca="1">IF(H39=0,0,TableSearch(H39,arrayspace,$G$3,$F$3))</f>
        <v>2,-3</v>
      </c>
      <c r="K39" s="25">
        <f t="shared" ca="1" si="8"/>
        <v>1</v>
      </c>
    </row>
    <row r="40" spans="1:11">
      <c r="A40">
        <f t="shared" ca="1" si="3"/>
        <v>2</v>
      </c>
      <c r="B40">
        <f t="shared" ca="1" si="4"/>
        <v>2</v>
      </c>
      <c r="C40" t="str">
        <f t="shared" ca="1" si="0"/>
        <v>C</v>
      </c>
      <c r="D40" t="str">
        <f t="shared" ca="1" si="1"/>
        <v>14</v>
      </c>
      <c r="E40" t="str">
        <f t="shared" ca="1" si="5"/>
        <v>elec71</v>
      </c>
      <c r="F40" s="25" t="str">
        <f t="shared" si="6"/>
        <v>A 26</v>
      </c>
      <c r="G40" s="25">
        <f t="shared" ca="1" si="2"/>
        <v>13</v>
      </c>
      <c r="H40" s="25">
        <f t="shared" ca="1" si="7"/>
        <v>71</v>
      </c>
      <c r="I40" s="25">
        <f t="shared" ca="1" si="9"/>
        <v>71</v>
      </c>
      <c r="J40" s="25" t="str">
        <f ca="1">IF(H40=0,0,TableSearch(H40,arrayspace,$G$3,$F$3))</f>
        <v>2,-2</v>
      </c>
      <c r="K40" s="25">
        <f t="shared" ca="1" si="8"/>
        <v>1</v>
      </c>
    </row>
    <row r="41" spans="1:11">
      <c r="A41">
        <f t="shared" ca="1" si="3"/>
        <v>2</v>
      </c>
      <c r="B41">
        <f t="shared" ca="1" si="4"/>
        <v>1</v>
      </c>
      <c r="C41" t="str">
        <f t="shared" ca="1" si="0"/>
        <v>C</v>
      </c>
      <c r="D41" t="str">
        <f t="shared" ca="1" si="1"/>
        <v>12</v>
      </c>
      <c r="E41" t="str">
        <f t="shared" ca="1" si="5"/>
        <v>elec70</v>
      </c>
      <c r="F41" s="25" t="str">
        <f t="shared" si="6"/>
        <v>A 27</v>
      </c>
      <c r="G41" s="25">
        <f t="shared" ca="1" si="2"/>
        <v>30</v>
      </c>
      <c r="H41" s="25">
        <f t="shared" ca="1" si="7"/>
        <v>70</v>
      </c>
      <c r="I41" s="25">
        <f t="shared" ca="1" si="9"/>
        <v>70</v>
      </c>
      <c r="J41" s="25" t="str">
        <f ca="1">IF(H41=0,0,TableSearch(H41,arrayspace,$G$3,$F$3))</f>
        <v>2,-1</v>
      </c>
      <c r="K41" s="25">
        <f t="shared" ca="1" si="8"/>
        <v>1</v>
      </c>
    </row>
    <row r="42" spans="1:11">
      <c r="A42">
        <f t="shared" ca="1" si="3"/>
        <v>2</v>
      </c>
      <c r="B42">
        <f t="shared" ca="1" si="4"/>
        <v>0</v>
      </c>
      <c r="C42" t="str">
        <f t="shared" ca="1" si="0"/>
        <v>C</v>
      </c>
      <c r="D42" t="str">
        <f t="shared" ca="1" si="1"/>
        <v>10</v>
      </c>
      <c r="E42" t="str">
        <f t="shared" ca="1" si="5"/>
        <v>elec69</v>
      </c>
      <c r="F42" s="25" t="str">
        <f t="shared" si="6"/>
        <v>A 28</v>
      </c>
      <c r="G42" s="25">
        <f t="shared" ca="1" si="2"/>
        <v>14</v>
      </c>
      <c r="H42" s="25">
        <f t="shared" ca="1" si="7"/>
        <v>69</v>
      </c>
      <c r="I42" s="25">
        <f t="shared" ca="1" si="9"/>
        <v>69</v>
      </c>
      <c r="J42" s="25" t="str">
        <f ca="1">IF(H42=0,0,TableSearch(H42,arrayspace,$G$3,$F$3))</f>
        <v>2,0</v>
      </c>
      <c r="K42" s="25">
        <f t="shared" ca="1" si="8"/>
        <v>1</v>
      </c>
    </row>
    <row r="43" spans="1:11">
      <c r="A43">
        <f t="shared" ca="1" si="3"/>
        <v>3</v>
      </c>
      <c r="B43">
        <f t="shared" ca="1" si="4"/>
        <v>9</v>
      </c>
      <c r="C43" t="str">
        <f t="shared" ca="1" si="0"/>
        <v>C</v>
      </c>
      <c r="D43" t="str">
        <f t="shared" ca="1" si="1"/>
        <v>8</v>
      </c>
      <c r="E43" t="str">
        <f t="shared" ca="1" si="5"/>
        <v>elec68</v>
      </c>
      <c r="F43" s="25" t="str">
        <f t="shared" si="6"/>
        <v>A 29</v>
      </c>
      <c r="G43" s="25">
        <f t="shared" ca="1" si="2"/>
        <v>31</v>
      </c>
      <c r="H43" s="25">
        <f t="shared" ca="1" si="7"/>
        <v>68</v>
      </c>
      <c r="I43" s="25">
        <f t="shared" ca="1" si="9"/>
        <v>68</v>
      </c>
      <c r="J43" s="25" t="str">
        <f ca="1">IF(H43=0,0,TableSearch(H43,arrayspace,$G$3,$F$3))</f>
        <v>3,-9</v>
      </c>
      <c r="K43" s="25">
        <f t="shared" ca="1" si="8"/>
        <v>1</v>
      </c>
    </row>
    <row r="44" spans="1:11">
      <c r="A44">
        <f t="shared" ca="1" si="3"/>
        <v>3</v>
      </c>
      <c r="B44">
        <f t="shared" ca="1" si="4"/>
        <v>8</v>
      </c>
      <c r="C44" t="str">
        <f t="shared" ca="1" si="0"/>
        <v>C</v>
      </c>
      <c r="D44" t="str">
        <f t="shared" ca="1" si="1"/>
        <v>6</v>
      </c>
      <c r="E44" t="str">
        <f t="shared" ca="1" si="5"/>
        <v>elec67</v>
      </c>
      <c r="F44" s="25" t="str">
        <f t="shared" si="6"/>
        <v>A 30</v>
      </c>
      <c r="G44" s="25">
        <f t="shared" ca="1" si="2"/>
        <v>15</v>
      </c>
      <c r="H44" s="25">
        <f t="shared" ca="1" si="7"/>
        <v>67</v>
      </c>
      <c r="I44" s="25">
        <f t="shared" ca="1" si="9"/>
        <v>67</v>
      </c>
      <c r="J44" s="25" t="str">
        <f ca="1">IF(H44=0,0,TableSearch(H44,arrayspace,$G$3,$F$3))</f>
        <v>3,-8</v>
      </c>
      <c r="K44" s="25">
        <f t="shared" ca="1" si="8"/>
        <v>1</v>
      </c>
    </row>
    <row r="45" spans="1:11">
      <c r="A45">
        <f t="shared" ca="1" si="3"/>
        <v>3</v>
      </c>
      <c r="B45">
        <f t="shared" ca="1" si="4"/>
        <v>7</v>
      </c>
      <c r="C45" t="str">
        <f t="shared" ca="1" si="0"/>
        <v>C</v>
      </c>
      <c r="D45" t="str">
        <f t="shared" ca="1" si="1"/>
        <v>4</v>
      </c>
      <c r="E45" t="str">
        <f t="shared" ca="1" si="5"/>
        <v>elec66</v>
      </c>
      <c r="F45" s="25" t="str">
        <f t="shared" si="6"/>
        <v>A 31</v>
      </c>
      <c r="G45" s="25">
        <f t="shared" ca="1" si="2"/>
        <v>32</v>
      </c>
      <c r="H45" s="25">
        <f t="shared" ca="1" si="7"/>
        <v>66</v>
      </c>
      <c r="I45" s="25">
        <f t="shared" ca="1" si="9"/>
        <v>66</v>
      </c>
      <c r="J45" s="25" t="str">
        <f ca="1">IF(H45=0,0,TableSearch(H45,arrayspace,$G$3,$F$3))</f>
        <v>3,-7</v>
      </c>
      <c r="K45" s="25">
        <f t="shared" ca="1" si="8"/>
        <v>1</v>
      </c>
    </row>
    <row r="46" spans="1:11">
      <c r="A46">
        <f t="shared" ca="1" si="3"/>
        <v>3</v>
      </c>
      <c r="B46">
        <f t="shared" ca="1" si="4"/>
        <v>6</v>
      </c>
      <c r="C46" t="str">
        <f t="shared" ca="1" si="0"/>
        <v>C</v>
      </c>
      <c r="D46" t="str">
        <f t="shared" ca="1" si="1"/>
        <v>2</v>
      </c>
      <c r="E46" t="str">
        <f t="shared" ca="1" si="5"/>
        <v>elec65</v>
      </c>
      <c r="F46" s="25" t="str">
        <f t="shared" si="6"/>
        <v>A 32</v>
      </c>
      <c r="G46" s="25">
        <f t="shared" ca="1" si="2"/>
        <v>16</v>
      </c>
      <c r="H46" s="25">
        <f t="shared" ca="1" si="7"/>
        <v>65</v>
      </c>
      <c r="I46" s="25">
        <f t="shared" ca="1" si="9"/>
        <v>65</v>
      </c>
      <c r="J46" s="25" t="str">
        <f ca="1">IF(H46=0,0,TableSearch(H46,arrayspace,$G$3,$F$3))</f>
        <v>3,-6</v>
      </c>
      <c r="K46" s="25">
        <f t="shared" ca="1" si="8"/>
        <v>1</v>
      </c>
    </row>
    <row r="47" spans="1:11">
      <c r="A47">
        <f t="shared" ca="1" si="3"/>
        <v>3</v>
      </c>
      <c r="B47">
        <f t="shared" ca="1" si="4"/>
        <v>5</v>
      </c>
      <c r="C47" t="str">
        <f t="shared" ref="C47:C78" ca="1" si="10">IF(A47="","",LEFT(IF(A47="","",INDEX($F$15:$G$122,MATCH(H47,$G$15:$G$122,0),1)),1))</f>
        <v>B</v>
      </c>
      <c r="D47" t="str">
        <f t="shared" ref="D47:D78" ca="1" si="11">IF(C47="","",TRIM(RIGHT(IF(C47="","",INDEX($F$15:$G$122,MATCH(H47,$G$15:$G$122,0),1)),2)))</f>
        <v>31</v>
      </c>
      <c r="E47" t="str">
        <f t="shared" ca="1" si="5"/>
        <v>elec64</v>
      </c>
      <c r="F47" s="25" t="s">
        <v>14</v>
      </c>
      <c r="G47" s="25">
        <f t="shared" ref="G47:G78" ca="1" si="12">INDIRECT("'"&amp;$F$2&amp;"'!R"&amp;(VALUE(MID($F47,3,2))-1)+$H$1&amp;"C"&amp;$G$1+CHOOSE(IF(LEFT($F47,1)="A",1,IF(LEFT($F47,1)="B",2,IF(LEFT($F47,1)="C",3,4))),2,5,8,11),0)</f>
        <v>49</v>
      </c>
      <c r="H47" s="25">
        <f t="shared" ca="1" si="7"/>
        <v>64</v>
      </c>
      <c r="I47" s="25">
        <f t="shared" ca="1" si="9"/>
        <v>64</v>
      </c>
      <c r="J47" s="25" t="str">
        <f ca="1">IF(H47=0,0,TableSearch(H47,arrayspace,$G$3,$F$3))</f>
        <v>3,-5</v>
      </c>
      <c r="K47" s="25">
        <f t="shared" ca="1" si="8"/>
        <v>1</v>
      </c>
    </row>
    <row r="48" spans="1:11">
      <c r="A48">
        <f t="shared" ca="1" si="3"/>
        <v>3</v>
      </c>
      <c r="B48">
        <f t="shared" ca="1" si="4"/>
        <v>4</v>
      </c>
      <c r="C48" t="str">
        <f t="shared" ca="1" si="10"/>
        <v>B</v>
      </c>
      <c r="D48" t="str">
        <f t="shared" ca="1" si="11"/>
        <v>29</v>
      </c>
      <c r="E48" t="str">
        <f t="shared" ca="1" si="5"/>
        <v>elec63</v>
      </c>
      <c r="F48" s="25" t="str">
        <f t="shared" ref="F48:F78" si="13">LEFT(F47,1)&amp;" "&amp;VALUE(MID(F47,3,2))+1</f>
        <v>B 2</v>
      </c>
      <c r="G48" s="25">
        <f t="shared" ca="1" si="12"/>
        <v>33</v>
      </c>
      <c r="H48" s="25">
        <f t="shared" ref="H48:H79" ca="1" si="14">IF(H47=0,0,MAX(INDIRECT("i"&amp;MATCH(H47,I:I,)+1&amp;":i141")))</f>
        <v>63</v>
      </c>
      <c r="I48" s="25">
        <f t="shared" ca="1" si="9"/>
        <v>63</v>
      </c>
      <c r="J48" s="25" t="str">
        <f ca="1">IF(H48=0,0,TableSearch(H48,arrayspace,$G$3,$F$3))</f>
        <v>3,-4</v>
      </c>
      <c r="K48" s="25">
        <f t="shared" ca="1" si="8"/>
        <v>1</v>
      </c>
    </row>
    <row r="49" spans="1:11">
      <c r="A49">
        <f t="shared" ca="1" si="3"/>
        <v>3</v>
      </c>
      <c r="B49">
        <f t="shared" ca="1" si="4"/>
        <v>3</v>
      </c>
      <c r="C49" t="str">
        <f t="shared" ca="1" si="10"/>
        <v>B</v>
      </c>
      <c r="D49" t="str">
        <f t="shared" ca="1" si="11"/>
        <v>27</v>
      </c>
      <c r="E49" t="str">
        <f t="shared" ca="1" si="5"/>
        <v>elec62</v>
      </c>
      <c r="F49" s="25" t="str">
        <f t="shared" si="13"/>
        <v>B 3</v>
      </c>
      <c r="G49" s="25">
        <f t="shared" ca="1" si="12"/>
        <v>50</v>
      </c>
      <c r="H49" s="25">
        <f t="shared" ca="1" si="14"/>
        <v>62</v>
      </c>
      <c r="I49" s="25">
        <f t="shared" ca="1" si="9"/>
        <v>62</v>
      </c>
      <c r="J49" s="25" t="str">
        <f ca="1">IF(H49=0,0,TableSearch(H49,arrayspace,$G$3,$F$3))</f>
        <v>3,-3</v>
      </c>
      <c r="K49" s="25">
        <f t="shared" ca="1" si="8"/>
        <v>1</v>
      </c>
    </row>
    <row r="50" spans="1:11">
      <c r="A50">
        <f t="shared" ca="1" si="3"/>
        <v>3</v>
      </c>
      <c r="B50">
        <f t="shared" ca="1" si="4"/>
        <v>2</v>
      </c>
      <c r="C50" t="str">
        <f t="shared" ca="1" si="10"/>
        <v>B</v>
      </c>
      <c r="D50" t="str">
        <f t="shared" ca="1" si="11"/>
        <v>25</v>
      </c>
      <c r="E50" t="str">
        <f t="shared" ca="1" si="5"/>
        <v>elec61</v>
      </c>
      <c r="F50" s="25" t="str">
        <f t="shared" si="13"/>
        <v>B 4</v>
      </c>
      <c r="G50" s="25">
        <f t="shared" ca="1" si="12"/>
        <v>34</v>
      </c>
      <c r="H50" s="25">
        <f t="shared" ca="1" si="14"/>
        <v>61</v>
      </c>
      <c r="I50" s="25">
        <f t="shared" ca="1" si="9"/>
        <v>61</v>
      </c>
      <c r="J50" s="25" t="str">
        <f ca="1">IF(H50=0,0,TableSearch(H50,arrayspace,$G$3,$F$3))</f>
        <v>3,-2</v>
      </c>
      <c r="K50" s="25">
        <f t="shared" ca="1" si="8"/>
        <v>1</v>
      </c>
    </row>
    <row r="51" spans="1:11">
      <c r="A51">
        <f t="shared" ca="1" si="3"/>
        <v>3</v>
      </c>
      <c r="B51">
        <f t="shared" ca="1" si="4"/>
        <v>1</v>
      </c>
      <c r="C51" t="str">
        <f t="shared" ca="1" si="10"/>
        <v>B</v>
      </c>
      <c r="D51" t="str">
        <f t="shared" ca="1" si="11"/>
        <v>23</v>
      </c>
      <c r="E51" t="str">
        <f t="shared" ca="1" si="5"/>
        <v>elec60</v>
      </c>
      <c r="F51" s="25" t="str">
        <f t="shared" si="13"/>
        <v>B 5</v>
      </c>
      <c r="G51" s="25">
        <f t="shared" ca="1" si="12"/>
        <v>51</v>
      </c>
      <c r="H51" s="25">
        <f t="shared" ca="1" si="14"/>
        <v>60</v>
      </c>
      <c r="I51" s="25">
        <f t="shared" ca="1" si="9"/>
        <v>60</v>
      </c>
      <c r="J51" s="25" t="str">
        <f ca="1">IF(H51=0,0,TableSearch(H51,arrayspace,$G$3,$F$3))</f>
        <v>3,-1</v>
      </c>
      <c r="K51" s="25">
        <f t="shared" ca="1" si="8"/>
        <v>1</v>
      </c>
    </row>
    <row r="52" spans="1:11">
      <c r="A52">
        <f t="shared" ca="1" si="3"/>
        <v>3</v>
      </c>
      <c r="B52">
        <f t="shared" ca="1" si="4"/>
        <v>0</v>
      </c>
      <c r="C52" t="str">
        <f t="shared" ca="1" si="10"/>
        <v>B</v>
      </c>
      <c r="D52" t="str">
        <f t="shared" ca="1" si="11"/>
        <v>21</v>
      </c>
      <c r="E52" t="str">
        <f t="shared" ca="1" si="5"/>
        <v>elec59</v>
      </c>
      <c r="F52" s="25" t="str">
        <f t="shared" si="13"/>
        <v>B 6</v>
      </c>
      <c r="G52" s="25">
        <f t="shared" ca="1" si="12"/>
        <v>35</v>
      </c>
      <c r="H52" s="25">
        <f t="shared" ca="1" si="14"/>
        <v>59</v>
      </c>
      <c r="I52" s="25">
        <f t="shared" ca="1" si="9"/>
        <v>59</v>
      </c>
      <c r="J52" s="25" t="str">
        <f ca="1">IF(H52=0,0,TableSearch(H52,arrayspace,$G$3,$F$3))</f>
        <v>3,0</v>
      </c>
      <c r="K52" s="25">
        <f t="shared" ca="1" si="8"/>
        <v>1</v>
      </c>
    </row>
    <row r="53" spans="1:11">
      <c r="A53">
        <f t="shared" ca="1" si="3"/>
        <v>4</v>
      </c>
      <c r="B53">
        <f t="shared" ca="1" si="4"/>
        <v>9</v>
      </c>
      <c r="C53" t="str">
        <f t="shared" ca="1" si="10"/>
        <v>B</v>
      </c>
      <c r="D53" t="str">
        <f t="shared" ca="1" si="11"/>
        <v>19</v>
      </c>
      <c r="E53" t="str">
        <f t="shared" ca="1" si="5"/>
        <v>elec58</v>
      </c>
      <c r="F53" s="25" t="str">
        <f t="shared" si="13"/>
        <v>B 7</v>
      </c>
      <c r="G53" s="25">
        <f t="shared" ca="1" si="12"/>
        <v>52</v>
      </c>
      <c r="H53" s="25">
        <f t="shared" ca="1" si="14"/>
        <v>58</v>
      </c>
      <c r="I53" s="25">
        <f t="shared" ca="1" si="9"/>
        <v>58</v>
      </c>
      <c r="J53" s="25" t="str">
        <f ca="1">IF(H53=0,0,TableSearch(H53,arrayspace,$G$3,$F$3))</f>
        <v>4,-9</v>
      </c>
      <c r="K53" s="25">
        <f t="shared" ca="1" si="8"/>
        <v>1</v>
      </c>
    </row>
    <row r="54" spans="1:11">
      <c r="A54">
        <f t="shared" ca="1" si="3"/>
        <v>4</v>
      </c>
      <c r="B54">
        <f t="shared" ca="1" si="4"/>
        <v>8</v>
      </c>
      <c r="C54" t="str">
        <f t="shared" ca="1" si="10"/>
        <v>B</v>
      </c>
      <c r="D54" t="str">
        <f t="shared" ca="1" si="11"/>
        <v>17</v>
      </c>
      <c r="E54" t="str">
        <f t="shared" ca="1" si="5"/>
        <v>elec57</v>
      </c>
      <c r="F54" s="25" t="str">
        <f t="shared" si="13"/>
        <v>B 8</v>
      </c>
      <c r="G54" s="25">
        <f t="shared" ca="1" si="12"/>
        <v>36</v>
      </c>
      <c r="H54" s="25">
        <f t="shared" ca="1" si="14"/>
        <v>57</v>
      </c>
      <c r="I54" s="25">
        <f t="shared" ca="1" si="9"/>
        <v>57</v>
      </c>
      <c r="J54" s="25" t="str">
        <f ca="1">IF(H54=0,0,TableSearch(H54,arrayspace,$G$3,$F$3))</f>
        <v>4,-8</v>
      </c>
      <c r="K54" s="25">
        <f t="shared" ca="1" si="8"/>
        <v>1</v>
      </c>
    </row>
    <row r="55" spans="1:11">
      <c r="A55">
        <f t="shared" ca="1" si="3"/>
        <v>4</v>
      </c>
      <c r="B55">
        <f t="shared" ca="1" si="4"/>
        <v>7</v>
      </c>
      <c r="C55" t="str">
        <f t="shared" ca="1" si="10"/>
        <v>B</v>
      </c>
      <c r="D55" t="str">
        <f t="shared" ca="1" si="11"/>
        <v>15</v>
      </c>
      <c r="E55" t="str">
        <f t="shared" ca="1" si="5"/>
        <v>elec56</v>
      </c>
      <c r="F55" s="25" t="str">
        <f t="shared" si="13"/>
        <v>B 9</v>
      </c>
      <c r="G55" s="25">
        <f t="shared" ca="1" si="12"/>
        <v>53</v>
      </c>
      <c r="H55" s="25">
        <f t="shared" ca="1" si="14"/>
        <v>56</v>
      </c>
      <c r="I55" s="25">
        <f t="shared" ca="1" si="9"/>
        <v>56</v>
      </c>
      <c r="J55" s="25" t="str">
        <f ca="1">IF(H55=0,0,TableSearch(H55,arrayspace,$G$3,$F$3))</f>
        <v>4,-7</v>
      </c>
      <c r="K55" s="25">
        <f t="shared" ca="1" si="8"/>
        <v>1</v>
      </c>
    </row>
    <row r="56" spans="1:11">
      <c r="A56">
        <f t="shared" ca="1" si="3"/>
        <v>4</v>
      </c>
      <c r="B56">
        <f t="shared" ca="1" si="4"/>
        <v>6</v>
      </c>
      <c r="C56" t="str">
        <f t="shared" ca="1" si="10"/>
        <v>B</v>
      </c>
      <c r="D56" t="str">
        <f t="shared" ca="1" si="11"/>
        <v>13</v>
      </c>
      <c r="E56" t="str">
        <f t="shared" ca="1" si="5"/>
        <v>elec55</v>
      </c>
      <c r="F56" s="25" t="str">
        <f t="shared" si="13"/>
        <v>B 10</v>
      </c>
      <c r="G56" s="25">
        <f t="shared" ca="1" si="12"/>
        <v>37</v>
      </c>
      <c r="H56" s="25">
        <f t="shared" ca="1" si="14"/>
        <v>55</v>
      </c>
      <c r="I56" s="25">
        <f t="shared" ca="1" si="9"/>
        <v>55</v>
      </c>
      <c r="J56" s="25" t="str">
        <f ca="1">IF(H56=0,0,TableSearch(H56,arrayspace,$G$3,$F$3))</f>
        <v>4,-6</v>
      </c>
      <c r="K56" s="25">
        <f t="shared" ca="1" si="8"/>
        <v>1</v>
      </c>
    </row>
    <row r="57" spans="1:11">
      <c r="A57">
        <f t="shared" ca="1" si="3"/>
        <v>4</v>
      </c>
      <c r="B57">
        <f t="shared" ca="1" si="4"/>
        <v>5</v>
      </c>
      <c r="C57" t="str">
        <f t="shared" ca="1" si="10"/>
        <v>B</v>
      </c>
      <c r="D57" t="str">
        <f t="shared" ca="1" si="11"/>
        <v>11</v>
      </c>
      <c r="E57" t="str">
        <f t="shared" ca="1" si="5"/>
        <v>elec54</v>
      </c>
      <c r="F57" s="25" t="str">
        <f t="shared" si="13"/>
        <v>B 11</v>
      </c>
      <c r="G57" s="25">
        <f t="shared" ca="1" si="12"/>
        <v>54</v>
      </c>
      <c r="H57" s="25">
        <f t="shared" ca="1" si="14"/>
        <v>54</v>
      </c>
      <c r="I57" s="25">
        <f t="shared" ca="1" si="9"/>
        <v>54</v>
      </c>
      <c r="J57" s="25" t="str">
        <f ca="1">IF(H57=0,0,TableSearch(H57,arrayspace,$G$3,$F$3))</f>
        <v>4,-5</v>
      </c>
      <c r="K57" s="25">
        <f t="shared" ca="1" si="8"/>
        <v>1</v>
      </c>
    </row>
    <row r="58" spans="1:11">
      <c r="A58">
        <f t="shared" ca="1" si="3"/>
        <v>4</v>
      </c>
      <c r="B58">
        <f t="shared" ca="1" si="4"/>
        <v>4</v>
      </c>
      <c r="C58" t="str">
        <f t="shared" ca="1" si="10"/>
        <v>B</v>
      </c>
      <c r="D58" t="str">
        <f t="shared" ca="1" si="11"/>
        <v>9</v>
      </c>
      <c r="E58" t="str">
        <f t="shared" ca="1" si="5"/>
        <v>elec53</v>
      </c>
      <c r="F58" s="25" t="str">
        <f t="shared" si="13"/>
        <v>B 12</v>
      </c>
      <c r="G58" s="25">
        <f t="shared" ca="1" si="12"/>
        <v>38</v>
      </c>
      <c r="H58" s="25">
        <f t="shared" ca="1" si="14"/>
        <v>53</v>
      </c>
      <c r="I58" s="25">
        <f t="shared" ca="1" si="9"/>
        <v>53</v>
      </c>
      <c r="J58" s="25" t="str">
        <f ca="1">IF(H58=0,0,TableSearch(H58,arrayspace,$G$3,$F$3))</f>
        <v>4,-4</v>
      </c>
      <c r="K58" s="25">
        <f t="shared" ca="1" si="8"/>
        <v>1</v>
      </c>
    </row>
    <row r="59" spans="1:11">
      <c r="A59">
        <f t="shared" ca="1" si="3"/>
        <v>4</v>
      </c>
      <c r="B59">
        <f t="shared" ca="1" si="4"/>
        <v>3</v>
      </c>
      <c r="C59" t="str">
        <f t="shared" ca="1" si="10"/>
        <v>B</v>
      </c>
      <c r="D59" t="str">
        <f t="shared" ca="1" si="11"/>
        <v>7</v>
      </c>
      <c r="E59" t="str">
        <f t="shared" ca="1" si="5"/>
        <v>elec52</v>
      </c>
      <c r="F59" s="25" t="str">
        <f t="shared" si="13"/>
        <v>B 13</v>
      </c>
      <c r="G59" s="25">
        <f t="shared" ca="1" si="12"/>
        <v>55</v>
      </c>
      <c r="H59" s="25">
        <f t="shared" ca="1" si="14"/>
        <v>52</v>
      </c>
      <c r="I59" s="25">
        <f t="shared" ca="1" si="9"/>
        <v>52</v>
      </c>
      <c r="J59" s="25" t="str">
        <f ca="1">IF(H59=0,0,TableSearch(H59,arrayspace,$G$3,$F$3))</f>
        <v>4,-3</v>
      </c>
      <c r="K59" s="25">
        <f t="shared" ca="1" si="8"/>
        <v>1</v>
      </c>
    </row>
    <row r="60" spans="1:11">
      <c r="A60">
        <f t="shared" ca="1" si="3"/>
        <v>4</v>
      </c>
      <c r="B60">
        <f t="shared" ca="1" si="4"/>
        <v>2</v>
      </c>
      <c r="C60" t="str">
        <f t="shared" ca="1" si="10"/>
        <v>B</v>
      </c>
      <c r="D60" t="str">
        <f t="shared" ca="1" si="11"/>
        <v>5</v>
      </c>
      <c r="E60" t="str">
        <f t="shared" ca="1" si="5"/>
        <v>elec51</v>
      </c>
      <c r="F60" s="25" t="str">
        <f t="shared" si="13"/>
        <v>B 14</v>
      </c>
      <c r="G60" s="25">
        <f t="shared" ca="1" si="12"/>
        <v>39</v>
      </c>
      <c r="H60" s="25">
        <f t="shared" ca="1" si="14"/>
        <v>51</v>
      </c>
      <c r="I60" s="25">
        <f t="shared" ca="1" si="9"/>
        <v>51</v>
      </c>
      <c r="J60" s="25" t="str">
        <f ca="1">IF(H60=0,0,TableSearch(H60,arrayspace,$G$3,$F$3))</f>
        <v>4,-2</v>
      </c>
      <c r="K60" s="25">
        <f t="shared" ca="1" si="8"/>
        <v>1</v>
      </c>
    </row>
    <row r="61" spans="1:11">
      <c r="A61">
        <f t="shared" ca="1" si="3"/>
        <v>4</v>
      </c>
      <c r="B61">
        <f t="shared" ca="1" si="4"/>
        <v>1</v>
      </c>
      <c r="C61" t="str">
        <f t="shared" ca="1" si="10"/>
        <v>B</v>
      </c>
      <c r="D61" t="str">
        <f t="shared" ca="1" si="11"/>
        <v>3</v>
      </c>
      <c r="E61" t="str">
        <f t="shared" ca="1" si="5"/>
        <v>elec50</v>
      </c>
      <c r="F61" s="25" t="str">
        <f t="shared" si="13"/>
        <v>B 15</v>
      </c>
      <c r="G61" s="25">
        <f t="shared" ca="1" si="12"/>
        <v>56</v>
      </c>
      <c r="H61" s="25">
        <f t="shared" ca="1" si="14"/>
        <v>50</v>
      </c>
      <c r="I61" s="25">
        <f t="shared" ca="1" si="9"/>
        <v>50</v>
      </c>
      <c r="J61" s="25" t="str">
        <f ca="1">IF(H61=0,0,TableSearch(H61,arrayspace,$G$3,$F$3))</f>
        <v>4,-1</v>
      </c>
      <c r="K61" s="25">
        <f t="shared" ca="1" si="8"/>
        <v>1</v>
      </c>
    </row>
    <row r="62" spans="1:11">
      <c r="A62">
        <f t="shared" ca="1" si="3"/>
        <v>0</v>
      </c>
      <c r="B62">
        <f t="shared" ca="1" si="4"/>
        <v>0</v>
      </c>
      <c r="C62" t="str">
        <f t="shared" ca="1" si="10"/>
        <v>B</v>
      </c>
      <c r="D62" t="str">
        <f t="shared" ca="1" si="11"/>
        <v>1</v>
      </c>
      <c r="E62" t="str">
        <f t="shared" ca="1" si="5"/>
        <v>elec49</v>
      </c>
      <c r="F62" s="25" t="str">
        <f t="shared" si="13"/>
        <v>B 16</v>
      </c>
      <c r="G62" s="25">
        <f t="shared" ca="1" si="12"/>
        <v>40</v>
      </c>
      <c r="H62" s="25">
        <f t="shared" ca="1" si="14"/>
        <v>49</v>
      </c>
      <c r="I62" s="25">
        <f t="shared" ca="1" si="9"/>
        <v>49</v>
      </c>
      <c r="J62" s="25" t="str">
        <f ca="1">IF(H62=0,0,TableSearch(H62,arrayspace,$G$3,$F$3))</f>
        <v>0,0</v>
      </c>
      <c r="K62" s="25">
        <f t="shared" ca="1" si="8"/>
        <v>1</v>
      </c>
    </row>
    <row r="63" spans="1:11">
      <c r="A63">
        <f t="shared" ca="1" si="3"/>
        <v>5</v>
      </c>
      <c r="B63">
        <f t="shared" ca="1" si="4"/>
        <v>9</v>
      </c>
      <c r="C63" t="str">
        <f t="shared" ca="1" si="10"/>
        <v>B</v>
      </c>
      <c r="D63" t="str">
        <f t="shared" ca="1" si="11"/>
        <v>32</v>
      </c>
      <c r="E63" t="str">
        <f t="shared" ca="1" si="5"/>
        <v>elec48</v>
      </c>
      <c r="F63" s="25" t="str">
        <f t="shared" si="13"/>
        <v>B 17</v>
      </c>
      <c r="G63" s="25">
        <f t="shared" ca="1" si="12"/>
        <v>57</v>
      </c>
      <c r="H63" s="25">
        <f t="shared" ca="1" si="14"/>
        <v>48</v>
      </c>
      <c r="I63" s="25">
        <f t="shared" ca="1" si="9"/>
        <v>48</v>
      </c>
      <c r="J63" s="25" t="str">
        <f ca="1">IF(H63=0,0,TableSearch(H63,arrayspace,$G$3,$F$3))</f>
        <v>5,-9</v>
      </c>
      <c r="K63" s="25">
        <f t="shared" ca="1" si="8"/>
        <v>1</v>
      </c>
    </row>
    <row r="64" spans="1:11">
      <c r="A64">
        <f t="shared" ca="1" si="3"/>
        <v>5</v>
      </c>
      <c r="B64">
        <f t="shared" ca="1" si="4"/>
        <v>8</v>
      </c>
      <c r="C64" t="str">
        <f t="shared" ca="1" si="10"/>
        <v>B</v>
      </c>
      <c r="D64" t="str">
        <f t="shared" ca="1" si="11"/>
        <v>30</v>
      </c>
      <c r="E64" t="str">
        <f t="shared" ca="1" si="5"/>
        <v>elec47</v>
      </c>
      <c r="F64" s="25" t="str">
        <f t="shared" si="13"/>
        <v>B 18</v>
      </c>
      <c r="G64" s="25">
        <f t="shared" ca="1" si="12"/>
        <v>41</v>
      </c>
      <c r="H64" s="25">
        <f t="shared" ca="1" si="14"/>
        <v>47</v>
      </c>
      <c r="I64" s="25">
        <f t="shared" ca="1" si="9"/>
        <v>47</v>
      </c>
      <c r="J64" s="25" t="str">
        <f ca="1">IF(H64=0,0,TableSearch(H64,arrayspace,$G$3,$F$3))</f>
        <v>5,-8</v>
      </c>
      <c r="K64" s="25">
        <f t="shared" ca="1" si="8"/>
        <v>1</v>
      </c>
    </row>
    <row r="65" spans="1:11">
      <c r="A65">
        <f t="shared" ca="1" si="3"/>
        <v>5</v>
      </c>
      <c r="B65">
        <f t="shared" ca="1" si="4"/>
        <v>7</v>
      </c>
      <c r="C65" t="str">
        <f t="shared" ca="1" si="10"/>
        <v>B</v>
      </c>
      <c r="D65" t="str">
        <f t="shared" ca="1" si="11"/>
        <v>28</v>
      </c>
      <c r="E65" t="str">
        <f t="shared" ca="1" si="5"/>
        <v>elec46</v>
      </c>
      <c r="F65" s="25" t="str">
        <f t="shared" si="13"/>
        <v>B 19</v>
      </c>
      <c r="G65" s="25">
        <f t="shared" ca="1" si="12"/>
        <v>58</v>
      </c>
      <c r="H65" s="25">
        <f t="shared" ca="1" si="14"/>
        <v>46</v>
      </c>
      <c r="I65" s="25">
        <f t="shared" ca="1" si="9"/>
        <v>46</v>
      </c>
      <c r="J65" s="25" t="str">
        <f ca="1">IF(H65=0,0,TableSearch(H65,arrayspace,$G$3,$F$3))</f>
        <v>5,-7</v>
      </c>
      <c r="K65" s="25">
        <f t="shared" ca="1" si="8"/>
        <v>1</v>
      </c>
    </row>
    <row r="66" spans="1:11">
      <c r="A66">
        <f t="shared" ca="1" si="3"/>
        <v>5</v>
      </c>
      <c r="B66">
        <f t="shared" ca="1" si="4"/>
        <v>6</v>
      </c>
      <c r="C66" t="str">
        <f t="shared" ca="1" si="10"/>
        <v>B</v>
      </c>
      <c r="D66" t="str">
        <f t="shared" ca="1" si="11"/>
        <v>26</v>
      </c>
      <c r="E66" t="str">
        <f t="shared" ca="1" si="5"/>
        <v>elec45</v>
      </c>
      <c r="F66" s="25" t="str">
        <f t="shared" si="13"/>
        <v>B 20</v>
      </c>
      <c r="G66" s="25">
        <f t="shared" ca="1" si="12"/>
        <v>42</v>
      </c>
      <c r="H66" s="25">
        <f t="shared" ca="1" si="14"/>
        <v>45</v>
      </c>
      <c r="I66" s="25">
        <f t="shared" ca="1" si="9"/>
        <v>45</v>
      </c>
      <c r="J66" s="25" t="str">
        <f ca="1">IF(H66=0,0,TableSearch(H66,arrayspace,$G$3,$F$3))</f>
        <v>5,-6</v>
      </c>
      <c r="K66" s="25">
        <f t="shared" ca="1" si="8"/>
        <v>1</v>
      </c>
    </row>
    <row r="67" spans="1:11">
      <c r="A67">
        <f t="shared" ca="1" si="3"/>
        <v>5</v>
      </c>
      <c r="B67">
        <f t="shared" ca="1" si="4"/>
        <v>5</v>
      </c>
      <c r="C67" t="str">
        <f t="shared" ca="1" si="10"/>
        <v>B</v>
      </c>
      <c r="D67" t="str">
        <f t="shared" ca="1" si="11"/>
        <v>24</v>
      </c>
      <c r="E67" t="str">
        <f t="shared" ca="1" si="5"/>
        <v>elec44</v>
      </c>
      <c r="F67" s="25" t="str">
        <f t="shared" si="13"/>
        <v>B 21</v>
      </c>
      <c r="G67" s="25">
        <f t="shared" ca="1" si="12"/>
        <v>59</v>
      </c>
      <c r="H67" s="25">
        <f t="shared" ca="1" si="14"/>
        <v>44</v>
      </c>
      <c r="I67" s="25">
        <f t="shared" ca="1" si="9"/>
        <v>44</v>
      </c>
      <c r="J67" s="25" t="str">
        <f ca="1">IF(H67=0,0,TableSearch(H67,arrayspace,$G$3,$F$3))</f>
        <v>5,-5</v>
      </c>
      <c r="K67" s="25">
        <f t="shared" ca="1" si="8"/>
        <v>1</v>
      </c>
    </row>
    <row r="68" spans="1:11">
      <c r="A68">
        <f t="shared" ca="1" si="3"/>
        <v>5</v>
      </c>
      <c r="B68">
        <f t="shared" ca="1" si="4"/>
        <v>4</v>
      </c>
      <c r="C68" t="str">
        <f t="shared" ca="1" si="10"/>
        <v>B</v>
      </c>
      <c r="D68" t="str">
        <f t="shared" ca="1" si="11"/>
        <v>22</v>
      </c>
      <c r="E68" t="str">
        <f t="shared" ca="1" si="5"/>
        <v>elec43</v>
      </c>
      <c r="F68" s="25" t="str">
        <f t="shared" si="13"/>
        <v>B 22</v>
      </c>
      <c r="G68" s="25">
        <f t="shared" ca="1" si="12"/>
        <v>43</v>
      </c>
      <c r="H68" s="25">
        <f t="shared" ca="1" si="14"/>
        <v>43</v>
      </c>
      <c r="I68" s="25">
        <f t="shared" ca="1" si="9"/>
        <v>43</v>
      </c>
      <c r="J68" s="25" t="str">
        <f ca="1">IF(H68=0,0,TableSearch(H68,arrayspace,$G$3,$F$3))</f>
        <v>5,-4</v>
      </c>
      <c r="K68" s="25">
        <f t="shared" ca="1" si="8"/>
        <v>1</v>
      </c>
    </row>
    <row r="69" spans="1:11">
      <c r="A69">
        <f t="shared" ca="1" si="3"/>
        <v>5</v>
      </c>
      <c r="B69">
        <f t="shared" ca="1" si="4"/>
        <v>3</v>
      </c>
      <c r="C69" t="str">
        <f t="shared" ca="1" si="10"/>
        <v>B</v>
      </c>
      <c r="D69" t="str">
        <f t="shared" ca="1" si="11"/>
        <v>20</v>
      </c>
      <c r="E69" t="str">
        <f t="shared" ca="1" si="5"/>
        <v>elec42</v>
      </c>
      <c r="F69" s="25" t="str">
        <f t="shared" si="13"/>
        <v>B 23</v>
      </c>
      <c r="G69" s="25">
        <f t="shared" ca="1" si="12"/>
        <v>60</v>
      </c>
      <c r="H69" s="25">
        <f t="shared" ca="1" si="14"/>
        <v>42</v>
      </c>
      <c r="I69" s="25">
        <f t="shared" ca="1" si="9"/>
        <v>42</v>
      </c>
      <c r="J69" s="25" t="str">
        <f ca="1">IF(H69=0,0,TableSearch(H69,arrayspace,$G$3,$F$3))</f>
        <v>5,-3</v>
      </c>
      <c r="K69" s="25">
        <f t="shared" ca="1" si="8"/>
        <v>1</v>
      </c>
    </row>
    <row r="70" spans="1:11">
      <c r="A70">
        <f t="shared" ca="1" si="3"/>
        <v>5</v>
      </c>
      <c r="B70">
        <f t="shared" ca="1" si="4"/>
        <v>2</v>
      </c>
      <c r="C70" t="str">
        <f t="shared" ca="1" si="10"/>
        <v>B</v>
      </c>
      <c r="D70" t="str">
        <f t="shared" ca="1" si="11"/>
        <v>18</v>
      </c>
      <c r="E70" t="str">
        <f t="shared" ca="1" si="5"/>
        <v>elec41</v>
      </c>
      <c r="F70" s="25" t="str">
        <f t="shared" si="13"/>
        <v>B 24</v>
      </c>
      <c r="G70" s="25">
        <f t="shared" ca="1" si="12"/>
        <v>44</v>
      </c>
      <c r="H70" s="25">
        <f t="shared" ca="1" si="14"/>
        <v>41</v>
      </c>
      <c r="I70" s="25">
        <f t="shared" ca="1" si="9"/>
        <v>41</v>
      </c>
      <c r="J70" s="25" t="str">
        <f ca="1">IF(H70=0,0,TableSearch(H70,arrayspace,$G$3,$F$3))</f>
        <v>5,-2</v>
      </c>
      <c r="K70" s="25">
        <f t="shared" ca="1" si="8"/>
        <v>1</v>
      </c>
    </row>
    <row r="71" spans="1:11">
      <c r="A71">
        <f t="shared" ca="1" si="3"/>
        <v>5</v>
      </c>
      <c r="B71">
        <f t="shared" ca="1" si="4"/>
        <v>1</v>
      </c>
      <c r="C71" t="str">
        <f t="shared" ca="1" si="10"/>
        <v>B</v>
      </c>
      <c r="D71" t="str">
        <f t="shared" ca="1" si="11"/>
        <v>16</v>
      </c>
      <c r="E71" t="str">
        <f t="shared" ca="1" si="5"/>
        <v>elec40</v>
      </c>
      <c r="F71" s="25" t="str">
        <f t="shared" si="13"/>
        <v>B 25</v>
      </c>
      <c r="G71" s="25">
        <f t="shared" ca="1" si="12"/>
        <v>61</v>
      </c>
      <c r="H71" s="25">
        <f t="shared" ca="1" si="14"/>
        <v>40</v>
      </c>
      <c r="I71" s="25">
        <f t="shared" ca="1" si="9"/>
        <v>40</v>
      </c>
      <c r="J71" s="25" t="str">
        <f ca="1">IF(H71=0,0,TableSearch(H71,arrayspace,$G$3,$F$3))</f>
        <v>5,-1</v>
      </c>
      <c r="K71" s="25">
        <f t="shared" ca="1" si="8"/>
        <v>1</v>
      </c>
    </row>
    <row r="72" spans="1:11">
      <c r="A72">
        <f t="shared" ca="1" si="3"/>
        <v>5</v>
      </c>
      <c r="B72">
        <f t="shared" ca="1" si="4"/>
        <v>0</v>
      </c>
      <c r="C72" t="str">
        <f t="shared" ca="1" si="10"/>
        <v>B</v>
      </c>
      <c r="D72" t="str">
        <f t="shared" ca="1" si="11"/>
        <v>14</v>
      </c>
      <c r="E72" t="str">
        <f t="shared" ca="1" si="5"/>
        <v>elec39</v>
      </c>
      <c r="F72" s="25" t="str">
        <f t="shared" si="13"/>
        <v>B 26</v>
      </c>
      <c r="G72" s="25">
        <f t="shared" ca="1" si="12"/>
        <v>45</v>
      </c>
      <c r="H72" s="25">
        <f t="shared" ca="1" si="14"/>
        <v>39</v>
      </c>
      <c r="I72" s="25">
        <f t="shared" ca="1" si="9"/>
        <v>39</v>
      </c>
      <c r="J72" s="25" t="str">
        <f ca="1">IF(H72=0,0,TableSearch(H72,arrayspace,$G$3,$F$3))</f>
        <v>5,0</v>
      </c>
      <c r="K72" s="25">
        <f t="shared" ca="1" si="8"/>
        <v>1</v>
      </c>
    </row>
    <row r="73" spans="1:11">
      <c r="A73">
        <f t="shared" ca="1" si="3"/>
        <v>6</v>
      </c>
      <c r="B73">
        <f t="shared" ca="1" si="4"/>
        <v>9</v>
      </c>
      <c r="C73" t="str">
        <f t="shared" ca="1" si="10"/>
        <v>B</v>
      </c>
      <c r="D73" t="str">
        <f t="shared" ca="1" si="11"/>
        <v>12</v>
      </c>
      <c r="E73" t="str">
        <f t="shared" ca="1" si="5"/>
        <v>elec38</v>
      </c>
      <c r="F73" s="25" t="str">
        <f t="shared" si="13"/>
        <v>B 27</v>
      </c>
      <c r="G73" s="25">
        <f t="shared" ca="1" si="12"/>
        <v>62</v>
      </c>
      <c r="H73" s="25">
        <f t="shared" ca="1" si="14"/>
        <v>38</v>
      </c>
      <c r="I73" s="25">
        <f t="shared" ca="1" si="9"/>
        <v>38</v>
      </c>
      <c r="J73" s="25" t="str">
        <f ca="1">IF(H73=0,0,TableSearch(H73,arrayspace,$G$3,$F$3))</f>
        <v>6,-9</v>
      </c>
      <c r="K73" s="25">
        <f t="shared" ca="1" si="8"/>
        <v>1</v>
      </c>
    </row>
    <row r="74" spans="1:11">
      <c r="A74">
        <f t="shared" ca="1" si="3"/>
        <v>6</v>
      </c>
      <c r="B74">
        <f t="shared" ca="1" si="4"/>
        <v>8</v>
      </c>
      <c r="C74" t="str">
        <f t="shared" ca="1" si="10"/>
        <v>B</v>
      </c>
      <c r="D74" t="str">
        <f t="shared" ca="1" si="11"/>
        <v>10</v>
      </c>
      <c r="E74" t="str">
        <f t="shared" ca="1" si="5"/>
        <v>elec37</v>
      </c>
      <c r="F74" s="25" t="str">
        <f t="shared" si="13"/>
        <v>B 28</v>
      </c>
      <c r="G74" s="25">
        <f t="shared" ca="1" si="12"/>
        <v>46</v>
      </c>
      <c r="H74" s="25">
        <f t="shared" ca="1" si="14"/>
        <v>37</v>
      </c>
      <c r="I74" s="25">
        <f t="shared" ca="1" si="9"/>
        <v>37</v>
      </c>
      <c r="J74" s="25" t="str">
        <f ca="1">IF(H74=0,0,TableSearch(H74,arrayspace,$G$3,$F$3))</f>
        <v>6,-8</v>
      </c>
      <c r="K74" s="25">
        <f t="shared" ca="1" si="8"/>
        <v>1</v>
      </c>
    </row>
    <row r="75" spans="1:11">
      <c r="A75">
        <f t="shared" ca="1" si="3"/>
        <v>6</v>
      </c>
      <c r="B75">
        <f t="shared" ca="1" si="4"/>
        <v>7</v>
      </c>
      <c r="C75" t="str">
        <f t="shared" ca="1" si="10"/>
        <v>B</v>
      </c>
      <c r="D75" t="str">
        <f t="shared" ca="1" si="11"/>
        <v>8</v>
      </c>
      <c r="E75" t="str">
        <f t="shared" ca="1" si="5"/>
        <v>elec36</v>
      </c>
      <c r="F75" s="25" t="str">
        <f t="shared" si="13"/>
        <v>B 29</v>
      </c>
      <c r="G75" s="25">
        <f t="shared" ca="1" si="12"/>
        <v>63</v>
      </c>
      <c r="H75" s="25">
        <f t="shared" ca="1" si="14"/>
        <v>36</v>
      </c>
      <c r="I75" s="25">
        <f t="shared" ca="1" si="9"/>
        <v>36</v>
      </c>
      <c r="J75" s="25" t="str">
        <f ca="1">IF(H75=0,0,TableSearch(H75,arrayspace,$G$3,$F$3))</f>
        <v>6,-7</v>
      </c>
      <c r="K75" s="25">
        <f t="shared" ca="1" si="8"/>
        <v>1</v>
      </c>
    </row>
    <row r="76" spans="1:11">
      <c r="A76">
        <f t="shared" ca="1" si="3"/>
        <v>6</v>
      </c>
      <c r="B76">
        <f t="shared" ca="1" si="4"/>
        <v>6</v>
      </c>
      <c r="C76" t="str">
        <f t="shared" ca="1" si="10"/>
        <v>B</v>
      </c>
      <c r="D76" t="str">
        <f t="shared" ca="1" si="11"/>
        <v>6</v>
      </c>
      <c r="E76" t="str">
        <f t="shared" ca="1" si="5"/>
        <v>elec35</v>
      </c>
      <c r="F76" s="25" t="str">
        <f t="shared" si="13"/>
        <v>B 30</v>
      </c>
      <c r="G76" s="25">
        <f t="shared" ca="1" si="12"/>
        <v>47</v>
      </c>
      <c r="H76" s="25">
        <f t="shared" ca="1" si="14"/>
        <v>35</v>
      </c>
      <c r="I76" s="25">
        <f t="shared" ca="1" si="9"/>
        <v>35</v>
      </c>
      <c r="J76" s="25" t="str">
        <f ca="1">IF(H76=0,0,TableSearch(H76,arrayspace,$G$3,$F$3))</f>
        <v>6,-6</v>
      </c>
      <c r="K76" s="25">
        <f t="shared" ca="1" si="8"/>
        <v>1</v>
      </c>
    </row>
    <row r="77" spans="1:11">
      <c r="A77">
        <f t="shared" ca="1" si="3"/>
        <v>6</v>
      </c>
      <c r="B77">
        <f t="shared" ca="1" si="4"/>
        <v>5</v>
      </c>
      <c r="C77" t="str">
        <f t="shared" ca="1" si="10"/>
        <v>B</v>
      </c>
      <c r="D77" t="str">
        <f t="shared" ca="1" si="11"/>
        <v>4</v>
      </c>
      <c r="E77" t="str">
        <f t="shared" ca="1" si="5"/>
        <v>elec34</v>
      </c>
      <c r="F77" s="25" t="str">
        <f t="shared" si="13"/>
        <v>B 31</v>
      </c>
      <c r="G77" s="25">
        <f t="shared" ca="1" si="12"/>
        <v>64</v>
      </c>
      <c r="H77" s="25">
        <f t="shared" ca="1" si="14"/>
        <v>34</v>
      </c>
      <c r="I77" s="25">
        <f t="shared" ca="1" si="9"/>
        <v>34</v>
      </c>
      <c r="J77" s="25" t="str">
        <f ca="1">IF(H77=0,0,TableSearch(H77,arrayspace,$G$3,$F$3))</f>
        <v>6,-5</v>
      </c>
      <c r="K77" s="25">
        <f t="shared" ca="1" si="8"/>
        <v>1</v>
      </c>
    </row>
    <row r="78" spans="1:11">
      <c r="A78">
        <f t="shared" ca="1" si="3"/>
        <v>6</v>
      </c>
      <c r="B78">
        <f t="shared" ca="1" si="4"/>
        <v>4</v>
      </c>
      <c r="C78" t="str">
        <f t="shared" ca="1" si="10"/>
        <v>B</v>
      </c>
      <c r="D78" t="str">
        <f t="shared" ca="1" si="11"/>
        <v>2</v>
      </c>
      <c r="E78" t="str">
        <f t="shared" ca="1" si="5"/>
        <v>elec33</v>
      </c>
      <c r="F78" s="25" t="str">
        <f t="shared" si="13"/>
        <v>B 32</v>
      </c>
      <c r="G78" s="25">
        <f t="shared" ca="1" si="12"/>
        <v>48</v>
      </c>
      <c r="H78" s="25">
        <f t="shared" ca="1" si="14"/>
        <v>33</v>
      </c>
      <c r="I78" s="25">
        <f t="shared" ca="1" si="9"/>
        <v>33</v>
      </c>
      <c r="J78" s="25" t="str">
        <f ca="1">IF(H78=0,0,TableSearch(H78,arrayspace,$G$3,$F$3))</f>
        <v>6,-4</v>
      </c>
      <c r="K78" s="25">
        <f t="shared" ca="1" si="8"/>
        <v>1</v>
      </c>
    </row>
    <row r="79" spans="1:11">
      <c r="A79">
        <f t="shared" ca="1" si="3"/>
        <v>6</v>
      </c>
      <c r="B79">
        <f t="shared" ca="1" si="4"/>
        <v>3</v>
      </c>
      <c r="C79" t="str">
        <f t="shared" ref="C79:C110" ca="1" si="15">IF(A79="","",LEFT(IF(A79="","",INDEX($F$15:$G$122,MATCH(H79,$G$15:$G$122,0),1)),1))</f>
        <v>A</v>
      </c>
      <c r="D79" t="str">
        <f t="shared" ref="D79:D110" ca="1" si="16">IF(C79="","",TRIM(RIGHT(IF(C79="","",INDEX($F$15:$G$122,MATCH(H79,$G$15:$G$122,0),1)),2)))</f>
        <v>31</v>
      </c>
      <c r="E79" t="str">
        <f t="shared" ca="1" si="5"/>
        <v>elec32</v>
      </c>
      <c r="F79" s="25" t="s">
        <v>15</v>
      </c>
      <c r="G79" s="25">
        <f t="shared" ref="G79:G110" ca="1" si="17">INDIRECT("'"&amp;$F$2&amp;"'!R"&amp;(VALUE(MID($F79,3,2))-1)+$H$1&amp;"C"&amp;$G$1+CHOOSE(IF(LEFT($F79,1)="A",1,IF(LEFT($F79,1)="B",2,IF(LEFT($F79,1)="C",3,4))),2,5,8,11),0)</f>
        <v>81</v>
      </c>
      <c r="H79" s="25">
        <f t="shared" ca="1" si="14"/>
        <v>32</v>
      </c>
      <c r="I79" s="25">
        <f t="shared" ca="1" si="9"/>
        <v>32</v>
      </c>
      <c r="J79" s="25" t="str">
        <f ca="1">IF(H79=0,0,TableSearch(H79,arrayspace,$G$3,$F$3))</f>
        <v>6,-3</v>
      </c>
      <c r="K79" s="25">
        <f t="shared" ca="1" si="8"/>
        <v>1</v>
      </c>
    </row>
    <row r="80" spans="1:11">
      <c r="A80">
        <f t="shared" ref="A80:A110" ca="1" si="18">IF(H80=0,"",VALUE(LEFT(J80,FIND(",",J80)-1)))</f>
        <v>6</v>
      </c>
      <c r="B80">
        <f t="shared" ref="B80:B110" ca="1" si="19">IF(H80=0,"",ABS(MID(J80,FIND(",",J80)+1,3)))</f>
        <v>2</v>
      </c>
      <c r="C80" t="str">
        <f t="shared" ca="1" si="15"/>
        <v>A</v>
      </c>
      <c r="D80" t="str">
        <f t="shared" ca="1" si="16"/>
        <v>29</v>
      </c>
      <c r="E80" t="str">
        <f t="shared" ref="E80:E110" ca="1" si="20">IF(H80=0,"","elec"&amp;IF($H$3&gt;1,K80&amp;"-","")&amp;H80)</f>
        <v>elec31</v>
      </c>
      <c r="F80" s="25" t="str">
        <f t="shared" ref="F80:F110" si="21">LEFT(F79,1)&amp;" "&amp;VALUE(MID(F79,3,2))+1</f>
        <v>C 2</v>
      </c>
      <c r="G80" s="25">
        <f t="shared" ca="1" si="17"/>
        <v>65</v>
      </c>
      <c r="H80" s="25">
        <f t="shared" ref="H80:H111" ca="1" si="22">IF(H79=0,0,MAX(INDIRECT("i"&amp;MATCH(H79,I:I,)+1&amp;":i141")))</f>
        <v>31</v>
      </c>
      <c r="I80" s="25">
        <f t="shared" ca="1" si="9"/>
        <v>31</v>
      </c>
      <c r="J80" s="25" t="str">
        <f ca="1">IF(H80=0,0,TableSearch(H80,arrayspace,$G$3,$F$3))</f>
        <v>6,-2</v>
      </c>
      <c r="K80" s="25">
        <f t="shared" ref="K80:K142" ca="1" si="23">IF(H80=0,0,INDIRECT("'"&amp;$F$2&amp;"'!"&amp;$I$1&amp;(-B80+$F$3+11)))</f>
        <v>1</v>
      </c>
    </row>
    <row r="81" spans="1:11">
      <c r="A81">
        <f t="shared" ca="1" si="18"/>
        <v>6</v>
      </c>
      <c r="B81">
        <f t="shared" ca="1" si="19"/>
        <v>1</v>
      </c>
      <c r="C81" t="str">
        <f t="shared" ca="1" si="15"/>
        <v>A</v>
      </c>
      <c r="D81" t="str">
        <f t="shared" ca="1" si="16"/>
        <v>27</v>
      </c>
      <c r="E81" t="str">
        <f t="shared" ca="1" si="20"/>
        <v>elec30</v>
      </c>
      <c r="F81" s="25" t="str">
        <f t="shared" si="21"/>
        <v>C 3</v>
      </c>
      <c r="G81" s="25">
        <f t="shared" ca="1" si="17"/>
        <v>82</v>
      </c>
      <c r="H81" s="25">
        <f t="shared" ca="1" si="22"/>
        <v>30</v>
      </c>
      <c r="I81" s="25">
        <f t="shared" ref="I81:I142" ca="1" si="24">IF(ISNA(MATCH($I$15-(ROW()-15),$G$15:$G$122,0)),0,$I$15-(ROW()-15))</f>
        <v>30</v>
      </c>
      <c r="J81" s="25" t="str">
        <f ca="1">IF(H81=0,0,TableSearch(H81,arrayspace,$G$3,$F$3))</f>
        <v>6,-1</v>
      </c>
      <c r="K81" s="25">
        <f t="shared" ca="1" si="23"/>
        <v>1</v>
      </c>
    </row>
    <row r="82" spans="1:11">
      <c r="A82">
        <f t="shared" ca="1" si="18"/>
        <v>6</v>
      </c>
      <c r="B82">
        <f t="shared" ca="1" si="19"/>
        <v>0</v>
      </c>
      <c r="C82" t="str">
        <f t="shared" ca="1" si="15"/>
        <v>A</v>
      </c>
      <c r="D82" t="str">
        <f t="shared" ca="1" si="16"/>
        <v>25</v>
      </c>
      <c r="E82" t="str">
        <f t="shared" ca="1" si="20"/>
        <v>elec29</v>
      </c>
      <c r="F82" s="25" t="str">
        <f t="shared" si="21"/>
        <v>C 4</v>
      </c>
      <c r="G82" s="25">
        <f t="shared" ca="1" si="17"/>
        <v>66</v>
      </c>
      <c r="H82" s="25">
        <f t="shared" ca="1" si="22"/>
        <v>29</v>
      </c>
      <c r="I82" s="25">
        <f t="shared" ca="1" si="24"/>
        <v>29</v>
      </c>
      <c r="J82" s="25" t="str">
        <f ca="1">IF(H82=0,0,TableSearch(H82,arrayspace,$G$3,$F$3))</f>
        <v>6,0</v>
      </c>
      <c r="K82" s="25">
        <f t="shared" ca="1" si="23"/>
        <v>1</v>
      </c>
    </row>
    <row r="83" spans="1:11">
      <c r="A83">
        <f t="shared" ca="1" si="18"/>
        <v>7</v>
      </c>
      <c r="B83">
        <f t="shared" ca="1" si="19"/>
        <v>9</v>
      </c>
      <c r="C83" t="str">
        <f t="shared" ca="1" si="15"/>
        <v>A</v>
      </c>
      <c r="D83" t="str">
        <f t="shared" ca="1" si="16"/>
        <v>23</v>
      </c>
      <c r="E83" t="str">
        <f t="shared" ca="1" si="20"/>
        <v>elec28</v>
      </c>
      <c r="F83" s="25" t="str">
        <f t="shared" si="21"/>
        <v>C 5</v>
      </c>
      <c r="G83" s="25">
        <f t="shared" ca="1" si="17"/>
        <v>83</v>
      </c>
      <c r="H83" s="25">
        <f t="shared" ca="1" si="22"/>
        <v>28</v>
      </c>
      <c r="I83" s="25">
        <f t="shared" ca="1" si="24"/>
        <v>28</v>
      </c>
      <c r="J83" s="25" t="str">
        <f ca="1">IF(H83=0,0,TableSearch(H83,arrayspace,$G$3,$F$3))</f>
        <v>7,-9</v>
      </c>
      <c r="K83" s="25">
        <f t="shared" ca="1" si="23"/>
        <v>1</v>
      </c>
    </row>
    <row r="84" spans="1:11">
      <c r="A84">
        <f t="shared" ca="1" si="18"/>
        <v>7</v>
      </c>
      <c r="B84">
        <f t="shared" ca="1" si="19"/>
        <v>8</v>
      </c>
      <c r="C84" t="str">
        <f t="shared" ca="1" si="15"/>
        <v>A</v>
      </c>
      <c r="D84" t="str">
        <f t="shared" ca="1" si="16"/>
        <v>21</v>
      </c>
      <c r="E84" t="str">
        <f t="shared" ca="1" si="20"/>
        <v>elec27</v>
      </c>
      <c r="F84" s="25" t="str">
        <f t="shared" si="21"/>
        <v>C 6</v>
      </c>
      <c r="G84" s="25">
        <f t="shared" ca="1" si="17"/>
        <v>67</v>
      </c>
      <c r="H84" s="25">
        <f t="shared" ca="1" si="22"/>
        <v>27</v>
      </c>
      <c r="I84" s="25">
        <f t="shared" ca="1" si="24"/>
        <v>27</v>
      </c>
      <c r="J84" s="25" t="str">
        <f ca="1">IF(H84=0,0,TableSearch(H84,arrayspace,$G$3,$F$3))</f>
        <v>7,-8</v>
      </c>
      <c r="K84" s="25">
        <f t="shared" ca="1" si="23"/>
        <v>1</v>
      </c>
    </row>
    <row r="85" spans="1:11">
      <c r="A85">
        <f t="shared" ca="1" si="18"/>
        <v>7</v>
      </c>
      <c r="B85">
        <f t="shared" ca="1" si="19"/>
        <v>7</v>
      </c>
      <c r="C85" t="str">
        <f t="shared" ca="1" si="15"/>
        <v>A</v>
      </c>
      <c r="D85" t="str">
        <f t="shared" ca="1" si="16"/>
        <v>19</v>
      </c>
      <c r="E85" t="str">
        <f t="shared" ca="1" si="20"/>
        <v>elec26</v>
      </c>
      <c r="F85" s="25" t="str">
        <f t="shared" si="21"/>
        <v>C 7</v>
      </c>
      <c r="G85" s="25">
        <f t="shared" ca="1" si="17"/>
        <v>84</v>
      </c>
      <c r="H85" s="25">
        <f t="shared" ca="1" si="22"/>
        <v>26</v>
      </c>
      <c r="I85" s="25">
        <f t="shared" ca="1" si="24"/>
        <v>26</v>
      </c>
      <c r="J85" s="25" t="str">
        <f ca="1">IF(H85=0,0,TableSearch(H85,arrayspace,$G$3,$F$3))</f>
        <v>7,-7</v>
      </c>
      <c r="K85" s="25">
        <f t="shared" ca="1" si="23"/>
        <v>1</v>
      </c>
    </row>
    <row r="86" spans="1:11">
      <c r="A86">
        <f t="shared" ca="1" si="18"/>
        <v>7</v>
      </c>
      <c r="B86">
        <f t="shared" ca="1" si="19"/>
        <v>6</v>
      </c>
      <c r="C86" t="str">
        <f t="shared" ca="1" si="15"/>
        <v>A</v>
      </c>
      <c r="D86" t="str">
        <f t="shared" ca="1" si="16"/>
        <v>17</v>
      </c>
      <c r="E86" t="str">
        <f t="shared" ca="1" si="20"/>
        <v>elec25</v>
      </c>
      <c r="F86" s="25" t="str">
        <f t="shared" si="21"/>
        <v>C 8</v>
      </c>
      <c r="G86" s="25">
        <f t="shared" ca="1" si="17"/>
        <v>68</v>
      </c>
      <c r="H86" s="25">
        <f t="shared" ca="1" si="22"/>
        <v>25</v>
      </c>
      <c r="I86" s="25">
        <f t="shared" ca="1" si="24"/>
        <v>25</v>
      </c>
      <c r="J86" s="25" t="str">
        <f ca="1">IF(H86=0,0,TableSearch(H86,arrayspace,$G$3,$F$3))</f>
        <v>7,-6</v>
      </c>
      <c r="K86" s="25">
        <f t="shared" ca="1" si="23"/>
        <v>1</v>
      </c>
    </row>
    <row r="87" spans="1:11">
      <c r="A87">
        <f t="shared" ca="1" si="18"/>
        <v>7</v>
      </c>
      <c r="B87">
        <f t="shared" ca="1" si="19"/>
        <v>5</v>
      </c>
      <c r="C87" t="str">
        <f t="shared" ca="1" si="15"/>
        <v>A</v>
      </c>
      <c r="D87" t="str">
        <f t="shared" ca="1" si="16"/>
        <v>15</v>
      </c>
      <c r="E87" t="str">
        <f t="shared" ca="1" si="20"/>
        <v>elec24</v>
      </c>
      <c r="F87" s="25" t="str">
        <f t="shared" si="21"/>
        <v>C 9</v>
      </c>
      <c r="G87" s="25">
        <f t="shared" ca="1" si="17"/>
        <v>85</v>
      </c>
      <c r="H87" s="25">
        <f t="shared" ca="1" si="22"/>
        <v>24</v>
      </c>
      <c r="I87" s="25">
        <f t="shared" ca="1" si="24"/>
        <v>24</v>
      </c>
      <c r="J87" s="25" t="str">
        <f ca="1">IF(H87=0,0,TableSearch(H87,arrayspace,$G$3,$F$3))</f>
        <v>7,-5</v>
      </c>
      <c r="K87" s="25">
        <f t="shared" ca="1" si="23"/>
        <v>1</v>
      </c>
    </row>
    <row r="88" spans="1:11">
      <c r="A88">
        <f t="shared" ca="1" si="18"/>
        <v>7</v>
      </c>
      <c r="B88">
        <f t="shared" ca="1" si="19"/>
        <v>4</v>
      </c>
      <c r="C88" t="str">
        <f t="shared" ca="1" si="15"/>
        <v>A</v>
      </c>
      <c r="D88" t="str">
        <f t="shared" ca="1" si="16"/>
        <v>13</v>
      </c>
      <c r="E88" t="str">
        <f t="shared" ca="1" si="20"/>
        <v>elec23</v>
      </c>
      <c r="F88" s="25" t="str">
        <f t="shared" si="21"/>
        <v>C 10</v>
      </c>
      <c r="G88" s="25">
        <f t="shared" ca="1" si="17"/>
        <v>69</v>
      </c>
      <c r="H88" s="25">
        <f t="shared" ca="1" si="22"/>
        <v>23</v>
      </c>
      <c r="I88" s="25">
        <f t="shared" ca="1" si="24"/>
        <v>23</v>
      </c>
      <c r="J88" s="25" t="str">
        <f ca="1">IF(H88=0,0,TableSearch(H88,arrayspace,$G$3,$F$3))</f>
        <v>7,-4</v>
      </c>
      <c r="K88" s="25">
        <f t="shared" ca="1" si="23"/>
        <v>1</v>
      </c>
    </row>
    <row r="89" spans="1:11">
      <c r="A89">
        <f t="shared" ca="1" si="18"/>
        <v>7</v>
      </c>
      <c r="B89">
        <f t="shared" ca="1" si="19"/>
        <v>3</v>
      </c>
      <c r="C89" t="str">
        <f t="shared" ca="1" si="15"/>
        <v>A</v>
      </c>
      <c r="D89" t="str">
        <f t="shared" ca="1" si="16"/>
        <v>11</v>
      </c>
      <c r="E89" t="str">
        <f t="shared" ca="1" si="20"/>
        <v>elec22</v>
      </c>
      <c r="F89" s="25" t="str">
        <f t="shared" si="21"/>
        <v>C 11</v>
      </c>
      <c r="G89" s="25">
        <f t="shared" ca="1" si="17"/>
        <v>86</v>
      </c>
      <c r="H89" s="25">
        <f t="shared" ca="1" si="22"/>
        <v>22</v>
      </c>
      <c r="I89" s="25">
        <f t="shared" ca="1" si="24"/>
        <v>22</v>
      </c>
      <c r="J89" s="25" t="str">
        <f ca="1">IF(H89=0,0,TableSearch(H89,arrayspace,$G$3,$F$3))</f>
        <v>7,-3</v>
      </c>
      <c r="K89" s="25">
        <f t="shared" ca="1" si="23"/>
        <v>1</v>
      </c>
    </row>
    <row r="90" spans="1:11">
      <c r="A90">
        <f t="shared" ca="1" si="18"/>
        <v>7</v>
      </c>
      <c r="B90">
        <f t="shared" ca="1" si="19"/>
        <v>2</v>
      </c>
      <c r="C90" t="str">
        <f t="shared" ca="1" si="15"/>
        <v>A</v>
      </c>
      <c r="D90" t="str">
        <f t="shared" ca="1" si="16"/>
        <v>9</v>
      </c>
      <c r="E90" t="str">
        <f t="shared" ca="1" si="20"/>
        <v>elec21</v>
      </c>
      <c r="F90" s="25" t="str">
        <f t="shared" si="21"/>
        <v>C 12</v>
      </c>
      <c r="G90" s="25">
        <f t="shared" ca="1" si="17"/>
        <v>70</v>
      </c>
      <c r="H90" s="25">
        <f t="shared" ca="1" si="22"/>
        <v>21</v>
      </c>
      <c r="I90" s="25">
        <f t="shared" ca="1" si="24"/>
        <v>21</v>
      </c>
      <c r="J90" s="25" t="str">
        <f ca="1">IF(H90=0,0,TableSearch(H90,arrayspace,$G$3,$F$3))</f>
        <v>7,-2</v>
      </c>
      <c r="K90" s="25">
        <f t="shared" ca="1" si="23"/>
        <v>1</v>
      </c>
    </row>
    <row r="91" spans="1:11">
      <c r="A91">
        <f t="shared" ca="1" si="18"/>
        <v>7</v>
      </c>
      <c r="B91">
        <f t="shared" ca="1" si="19"/>
        <v>1</v>
      </c>
      <c r="C91" t="str">
        <f t="shared" ca="1" si="15"/>
        <v>A</v>
      </c>
      <c r="D91" t="str">
        <f t="shared" ca="1" si="16"/>
        <v>7</v>
      </c>
      <c r="E91" t="str">
        <f t="shared" ca="1" si="20"/>
        <v>elec20</v>
      </c>
      <c r="F91" s="25" t="str">
        <f t="shared" si="21"/>
        <v>C 13</v>
      </c>
      <c r="G91" s="25">
        <f t="shared" ca="1" si="17"/>
        <v>87</v>
      </c>
      <c r="H91" s="25">
        <f t="shared" ca="1" si="22"/>
        <v>20</v>
      </c>
      <c r="I91" s="25">
        <f t="shared" ca="1" si="24"/>
        <v>20</v>
      </c>
      <c r="J91" s="25" t="str">
        <f ca="1">IF(H91=0,0,TableSearch(H91,arrayspace,$G$3,$F$3))</f>
        <v>7,-1</v>
      </c>
      <c r="K91" s="25">
        <f t="shared" ca="1" si="23"/>
        <v>1</v>
      </c>
    </row>
    <row r="92" spans="1:11">
      <c r="A92">
        <f t="shared" ca="1" si="18"/>
        <v>7</v>
      </c>
      <c r="B92">
        <f t="shared" ca="1" si="19"/>
        <v>0</v>
      </c>
      <c r="C92" t="str">
        <f t="shared" ca="1" si="15"/>
        <v>A</v>
      </c>
      <c r="D92" t="str">
        <f t="shared" ca="1" si="16"/>
        <v>5</v>
      </c>
      <c r="E92" t="str">
        <f t="shared" ca="1" si="20"/>
        <v>elec19</v>
      </c>
      <c r="F92" s="25" t="str">
        <f t="shared" si="21"/>
        <v>C 14</v>
      </c>
      <c r="G92" s="25">
        <f t="shared" ca="1" si="17"/>
        <v>71</v>
      </c>
      <c r="H92" s="25">
        <f t="shared" ca="1" si="22"/>
        <v>19</v>
      </c>
      <c r="I92" s="25">
        <f t="shared" ca="1" si="24"/>
        <v>19</v>
      </c>
      <c r="J92" s="25" t="str">
        <f ca="1">IF(H92=0,0,TableSearch(H92,arrayspace,$G$3,$F$3))</f>
        <v>7,0</v>
      </c>
      <c r="K92" s="25">
        <f t="shared" ca="1" si="23"/>
        <v>1</v>
      </c>
    </row>
    <row r="93" spans="1:11">
      <c r="A93">
        <f t="shared" ca="1" si="18"/>
        <v>8</v>
      </c>
      <c r="B93">
        <f t="shared" ca="1" si="19"/>
        <v>9</v>
      </c>
      <c r="C93" t="str">
        <f t="shared" ca="1" si="15"/>
        <v>A</v>
      </c>
      <c r="D93" t="str">
        <f t="shared" ca="1" si="16"/>
        <v>3</v>
      </c>
      <c r="E93" t="str">
        <f t="shared" ca="1" si="20"/>
        <v>elec18</v>
      </c>
      <c r="F93" s="25" t="str">
        <f t="shared" si="21"/>
        <v>C 15</v>
      </c>
      <c r="G93" s="25">
        <f t="shared" ca="1" si="17"/>
        <v>88</v>
      </c>
      <c r="H93" s="25">
        <f t="shared" ca="1" si="22"/>
        <v>18</v>
      </c>
      <c r="I93" s="25">
        <f t="shared" ca="1" si="24"/>
        <v>18</v>
      </c>
      <c r="J93" s="25" t="str">
        <f ca="1">IF(H93=0,0,TableSearch(H93,arrayspace,$G$3,$F$3))</f>
        <v>8,-9</v>
      </c>
      <c r="K93" s="25">
        <f t="shared" ca="1" si="23"/>
        <v>1</v>
      </c>
    </row>
    <row r="94" spans="1:11">
      <c r="A94">
        <f t="shared" ca="1" si="18"/>
        <v>8</v>
      </c>
      <c r="B94">
        <f t="shared" ca="1" si="19"/>
        <v>8</v>
      </c>
      <c r="C94" t="str">
        <f t="shared" ca="1" si="15"/>
        <v>A</v>
      </c>
      <c r="D94" t="str">
        <f t="shared" ca="1" si="16"/>
        <v>1</v>
      </c>
      <c r="E94" t="str">
        <f t="shared" ca="1" si="20"/>
        <v>elec17</v>
      </c>
      <c r="F94" s="25" t="str">
        <f t="shared" si="21"/>
        <v>C 16</v>
      </c>
      <c r="G94" s="25">
        <f t="shared" ca="1" si="17"/>
        <v>72</v>
      </c>
      <c r="H94" s="25">
        <f t="shared" ca="1" si="22"/>
        <v>17</v>
      </c>
      <c r="I94" s="25">
        <f t="shared" ca="1" si="24"/>
        <v>17</v>
      </c>
      <c r="J94" s="25" t="str">
        <f ca="1">IF(H94=0,0,TableSearch(H94,arrayspace,$G$3,$F$3))</f>
        <v>8,-8</v>
      </c>
      <c r="K94" s="25">
        <f t="shared" ca="1" si="23"/>
        <v>1</v>
      </c>
    </row>
    <row r="95" spans="1:11">
      <c r="A95">
        <f t="shared" ca="1" si="18"/>
        <v>8</v>
      </c>
      <c r="B95">
        <f t="shared" ca="1" si="19"/>
        <v>7</v>
      </c>
      <c r="C95" t="str">
        <f t="shared" ca="1" si="15"/>
        <v>A</v>
      </c>
      <c r="D95" t="str">
        <f t="shared" ca="1" si="16"/>
        <v>32</v>
      </c>
      <c r="E95" t="str">
        <f t="shared" ca="1" si="20"/>
        <v>elec16</v>
      </c>
      <c r="F95" s="25" t="str">
        <f t="shared" si="21"/>
        <v>C 17</v>
      </c>
      <c r="G95" s="25">
        <f t="shared" ca="1" si="17"/>
        <v>89</v>
      </c>
      <c r="H95" s="25">
        <f t="shared" ca="1" si="22"/>
        <v>16</v>
      </c>
      <c r="I95" s="25">
        <f t="shared" ca="1" si="24"/>
        <v>16</v>
      </c>
      <c r="J95" s="25" t="str">
        <f ca="1">IF(H95=0,0,TableSearch(H95,arrayspace,$G$3,$F$3))</f>
        <v>8,-7</v>
      </c>
      <c r="K95" s="25">
        <f t="shared" ca="1" si="23"/>
        <v>1</v>
      </c>
    </row>
    <row r="96" spans="1:11">
      <c r="A96">
        <f t="shared" ca="1" si="18"/>
        <v>8</v>
      </c>
      <c r="B96">
        <f t="shared" ca="1" si="19"/>
        <v>6</v>
      </c>
      <c r="C96" t="str">
        <f t="shared" ca="1" si="15"/>
        <v>A</v>
      </c>
      <c r="D96" t="str">
        <f t="shared" ca="1" si="16"/>
        <v>30</v>
      </c>
      <c r="E96" t="str">
        <f t="shared" ca="1" si="20"/>
        <v>elec15</v>
      </c>
      <c r="F96" s="25" t="str">
        <f t="shared" si="21"/>
        <v>C 18</v>
      </c>
      <c r="G96" s="25">
        <f t="shared" ca="1" si="17"/>
        <v>73</v>
      </c>
      <c r="H96" s="25">
        <f t="shared" ca="1" si="22"/>
        <v>15</v>
      </c>
      <c r="I96" s="25">
        <f t="shared" ca="1" si="24"/>
        <v>15</v>
      </c>
      <c r="J96" s="25" t="str">
        <f ca="1">IF(H96=0,0,TableSearch(H96,arrayspace,$G$3,$F$3))</f>
        <v>8,-6</v>
      </c>
      <c r="K96" s="25">
        <f t="shared" ca="1" si="23"/>
        <v>1</v>
      </c>
    </row>
    <row r="97" spans="1:11">
      <c r="A97">
        <f t="shared" ca="1" si="18"/>
        <v>8</v>
      </c>
      <c r="B97">
        <f t="shared" ca="1" si="19"/>
        <v>5</v>
      </c>
      <c r="C97" t="str">
        <f t="shared" ca="1" si="15"/>
        <v>A</v>
      </c>
      <c r="D97" t="str">
        <f t="shared" ca="1" si="16"/>
        <v>28</v>
      </c>
      <c r="E97" t="str">
        <f t="shared" ca="1" si="20"/>
        <v>elec14</v>
      </c>
      <c r="F97" s="25" t="str">
        <f t="shared" si="21"/>
        <v>C 19</v>
      </c>
      <c r="G97" s="25">
        <f t="shared" ca="1" si="17"/>
        <v>90</v>
      </c>
      <c r="H97" s="25">
        <f t="shared" ca="1" si="22"/>
        <v>14</v>
      </c>
      <c r="I97" s="25">
        <f t="shared" ca="1" si="24"/>
        <v>14</v>
      </c>
      <c r="J97" s="25" t="str">
        <f ca="1">IF(H97=0,0,TableSearch(H97,arrayspace,$G$3,$F$3))</f>
        <v>8,-5</v>
      </c>
      <c r="K97" s="25">
        <f t="shared" ca="1" si="23"/>
        <v>1</v>
      </c>
    </row>
    <row r="98" spans="1:11">
      <c r="A98">
        <f t="shared" ca="1" si="18"/>
        <v>8</v>
      </c>
      <c r="B98">
        <f t="shared" ca="1" si="19"/>
        <v>4</v>
      </c>
      <c r="C98" t="str">
        <f t="shared" ca="1" si="15"/>
        <v>A</v>
      </c>
      <c r="D98" t="str">
        <f t="shared" ca="1" si="16"/>
        <v>26</v>
      </c>
      <c r="E98" t="str">
        <f t="shared" ca="1" si="20"/>
        <v>elec13</v>
      </c>
      <c r="F98" s="25" t="str">
        <f t="shared" si="21"/>
        <v>C 20</v>
      </c>
      <c r="G98" s="25">
        <f t="shared" ca="1" si="17"/>
        <v>74</v>
      </c>
      <c r="H98" s="25">
        <f t="shared" ca="1" si="22"/>
        <v>13</v>
      </c>
      <c r="I98" s="25">
        <f t="shared" ca="1" si="24"/>
        <v>13</v>
      </c>
      <c r="J98" s="25" t="str">
        <f ca="1">IF(H98=0,0,TableSearch(H98,arrayspace,$G$3,$F$3))</f>
        <v>8,-4</v>
      </c>
      <c r="K98" s="25">
        <f t="shared" ca="1" si="23"/>
        <v>1</v>
      </c>
    </row>
    <row r="99" spans="1:11">
      <c r="A99">
        <f t="shared" ca="1" si="18"/>
        <v>8</v>
      </c>
      <c r="B99">
        <f t="shared" ca="1" si="19"/>
        <v>3</v>
      </c>
      <c r="C99" t="str">
        <f t="shared" ca="1" si="15"/>
        <v>A</v>
      </c>
      <c r="D99" t="str">
        <f t="shared" ca="1" si="16"/>
        <v>24</v>
      </c>
      <c r="E99" t="str">
        <f t="shared" ca="1" si="20"/>
        <v>elec12</v>
      </c>
      <c r="F99" s="25" t="str">
        <f t="shared" si="21"/>
        <v>C 21</v>
      </c>
      <c r="G99" s="25">
        <f t="shared" ca="1" si="17"/>
        <v>91</v>
      </c>
      <c r="H99" s="25">
        <f t="shared" ca="1" si="22"/>
        <v>12</v>
      </c>
      <c r="I99" s="25">
        <f t="shared" ca="1" si="24"/>
        <v>12</v>
      </c>
      <c r="J99" s="25" t="str">
        <f ca="1">IF(H99=0,0,TableSearch(H99,arrayspace,$G$3,$F$3))</f>
        <v>8,-3</v>
      </c>
      <c r="K99" s="25">
        <f t="shared" ca="1" si="23"/>
        <v>1</v>
      </c>
    </row>
    <row r="100" spans="1:11">
      <c r="A100">
        <f t="shared" ca="1" si="18"/>
        <v>8</v>
      </c>
      <c r="B100">
        <f t="shared" ca="1" si="19"/>
        <v>2</v>
      </c>
      <c r="C100" t="str">
        <f t="shared" ca="1" si="15"/>
        <v>A</v>
      </c>
      <c r="D100" t="str">
        <f t="shared" ca="1" si="16"/>
        <v>22</v>
      </c>
      <c r="E100" t="str">
        <f t="shared" ca="1" si="20"/>
        <v>elec11</v>
      </c>
      <c r="F100" s="25" t="str">
        <f t="shared" si="21"/>
        <v>C 22</v>
      </c>
      <c r="G100" s="25">
        <f t="shared" ca="1" si="17"/>
        <v>75</v>
      </c>
      <c r="H100" s="25">
        <f t="shared" ca="1" si="22"/>
        <v>11</v>
      </c>
      <c r="I100" s="25">
        <f t="shared" ca="1" si="24"/>
        <v>11</v>
      </c>
      <c r="J100" s="25" t="str">
        <f ca="1">IF(H100=0,0,TableSearch(H100,arrayspace,$G$3,$F$3))</f>
        <v>8,-2</v>
      </c>
      <c r="K100" s="25">
        <f t="shared" ca="1" si="23"/>
        <v>1</v>
      </c>
    </row>
    <row r="101" spans="1:11">
      <c r="A101">
        <f t="shared" ca="1" si="18"/>
        <v>8</v>
      </c>
      <c r="B101">
        <f t="shared" ca="1" si="19"/>
        <v>1</v>
      </c>
      <c r="C101" t="str">
        <f t="shared" ca="1" si="15"/>
        <v>A</v>
      </c>
      <c r="D101" t="str">
        <f t="shared" ca="1" si="16"/>
        <v>20</v>
      </c>
      <c r="E101" t="str">
        <f t="shared" ca="1" si="20"/>
        <v>elec10</v>
      </c>
      <c r="F101" s="25" t="str">
        <f t="shared" si="21"/>
        <v>C 23</v>
      </c>
      <c r="G101" s="25">
        <f t="shared" ca="1" si="17"/>
        <v>92</v>
      </c>
      <c r="H101" s="25">
        <f t="shared" ca="1" si="22"/>
        <v>10</v>
      </c>
      <c r="I101" s="25">
        <f t="shared" ca="1" si="24"/>
        <v>10</v>
      </c>
      <c r="J101" s="25" t="str">
        <f ca="1">IF(H101=0,0,TableSearch(H101,arrayspace,$G$3,$F$3))</f>
        <v>8,-1</v>
      </c>
      <c r="K101" s="25">
        <f t="shared" ca="1" si="23"/>
        <v>1</v>
      </c>
    </row>
    <row r="102" spans="1:11">
      <c r="A102">
        <f t="shared" ca="1" si="18"/>
        <v>8</v>
      </c>
      <c r="B102">
        <f t="shared" ca="1" si="19"/>
        <v>0</v>
      </c>
      <c r="C102" t="str">
        <f t="shared" ca="1" si="15"/>
        <v>A</v>
      </c>
      <c r="D102" t="str">
        <f t="shared" ca="1" si="16"/>
        <v>18</v>
      </c>
      <c r="E102" t="str">
        <f t="shared" ca="1" si="20"/>
        <v>elec9</v>
      </c>
      <c r="F102" s="25" t="str">
        <f t="shared" si="21"/>
        <v>C 24</v>
      </c>
      <c r="G102" s="25">
        <f t="shared" ca="1" si="17"/>
        <v>76</v>
      </c>
      <c r="H102" s="25">
        <f t="shared" ca="1" si="22"/>
        <v>9</v>
      </c>
      <c r="I102" s="25">
        <f t="shared" ca="1" si="24"/>
        <v>9</v>
      </c>
      <c r="J102" s="25" t="str">
        <f ca="1">IF(H102=0,0,TableSearch(H102,arrayspace,$G$3,$F$3))</f>
        <v>8,0</v>
      </c>
      <c r="K102" s="25">
        <f t="shared" ca="1" si="23"/>
        <v>1</v>
      </c>
    </row>
    <row r="103" spans="1:11">
      <c r="A103">
        <f t="shared" ca="1" si="18"/>
        <v>9</v>
      </c>
      <c r="B103">
        <f t="shared" ca="1" si="19"/>
        <v>8</v>
      </c>
      <c r="C103" t="str">
        <f t="shared" ca="1" si="15"/>
        <v>A</v>
      </c>
      <c r="D103" t="str">
        <f t="shared" ca="1" si="16"/>
        <v>16</v>
      </c>
      <c r="E103" t="str">
        <f t="shared" ca="1" si="20"/>
        <v>elec8</v>
      </c>
      <c r="F103" s="25" t="str">
        <f t="shared" si="21"/>
        <v>C 25</v>
      </c>
      <c r="G103" s="25">
        <f t="shared" ca="1" si="17"/>
        <v>93</v>
      </c>
      <c r="H103" s="25">
        <f t="shared" ca="1" si="22"/>
        <v>8</v>
      </c>
      <c r="I103" s="25">
        <f t="shared" ca="1" si="24"/>
        <v>8</v>
      </c>
      <c r="J103" s="25" t="str">
        <f ca="1">IF(H103=0,0,TableSearch(H103,arrayspace,$G$3,$F$3))</f>
        <v>9,-8</v>
      </c>
      <c r="K103" s="25">
        <f t="shared" ca="1" si="23"/>
        <v>1</v>
      </c>
    </row>
    <row r="104" spans="1:11">
      <c r="A104">
        <f t="shared" ca="1" si="18"/>
        <v>9</v>
      </c>
      <c r="B104">
        <f t="shared" ca="1" si="19"/>
        <v>7</v>
      </c>
      <c r="C104" t="str">
        <f t="shared" ca="1" si="15"/>
        <v>A</v>
      </c>
      <c r="D104" t="str">
        <f t="shared" ca="1" si="16"/>
        <v>14</v>
      </c>
      <c r="E104" t="str">
        <f t="shared" ca="1" si="20"/>
        <v>elec7</v>
      </c>
      <c r="F104" s="25" t="str">
        <f t="shared" si="21"/>
        <v>C 26</v>
      </c>
      <c r="G104" s="25">
        <f t="shared" ca="1" si="17"/>
        <v>77</v>
      </c>
      <c r="H104" s="25">
        <f t="shared" ca="1" si="22"/>
        <v>7</v>
      </c>
      <c r="I104" s="25">
        <f t="shared" ca="1" si="24"/>
        <v>7</v>
      </c>
      <c r="J104" s="25" t="str">
        <f ca="1">IF(H104=0,0,TableSearch(H104,arrayspace,$G$3,$F$3))</f>
        <v>9,-7</v>
      </c>
      <c r="K104" s="25">
        <f t="shared" ca="1" si="23"/>
        <v>1</v>
      </c>
    </row>
    <row r="105" spans="1:11">
      <c r="A105">
        <f t="shared" ca="1" si="18"/>
        <v>9</v>
      </c>
      <c r="B105">
        <f t="shared" ca="1" si="19"/>
        <v>6</v>
      </c>
      <c r="C105" t="str">
        <f t="shared" ca="1" si="15"/>
        <v>A</v>
      </c>
      <c r="D105" t="str">
        <f t="shared" ca="1" si="16"/>
        <v>12</v>
      </c>
      <c r="E105" t="str">
        <f t="shared" ca="1" si="20"/>
        <v>elec6</v>
      </c>
      <c r="F105" s="25" t="str">
        <f t="shared" si="21"/>
        <v>C 27</v>
      </c>
      <c r="G105" s="25">
        <f t="shared" ca="1" si="17"/>
        <v>94</v>
      </c>
      <c r="H105" s="25">
        <f t="shared" ca="1" si="22"/>
        <v>6</v>
      </c>
      <c r="I105" s="25">
        <f t="shared" ca="1" si="24"/>
        <v>6</v>
      </c>
      <c r="J105" s="25" t="str">
        <f ca="1">IF(H105=0,0,TableSearch(H105,arrayspace,$G$3,$F$3))</f>
        <v>9,-6</v>
      </c>
      <c r="K105" s="25">
        <f t="shared" ca="1" si="23"/>
        <v>1</v>
      </c>
    </row>
    <row r="106" spans="1:11">
      <c r="A106">
        <f t="shared" ca="1" si="18"/>
        <v>9</v>
      </c>
      <c r="B106">
        <f t="shared" ca="1" si="19"/>
        <v>5</v>
      </c>
      <c r="C106" t="str">
        <f t="shared" ca="1" si="15"/>
        <v>A</v>
      </c>
      <c r="D106" t="str">
        <f t="shared" ca="1" si="16"/>
        <v>10</v>
      </c>
      <c r="E106" t="str">
        <f t="shared" ca="1" si="20"/>
        <v>elec5</v>
      </c>
      <c r="F106" s="25" t="str">
        <f t="shared" si="21"/>
        <v>C 28</v>
      </c>
      <c r="G106" s="25">
        <f t="shared" ca="1" si="17"/>
        <v>78</v>
      </c>
      <c r="H106" s="25">
        <f t="shared" ca="1" si="22"/>
        <v>5</v>
      </c>
      <c r="I106" s="25">
        <f t="shared" ca="1" si="24"/>
        <v>5</v>
      </c>
      <c r="J106" s="25" t="str">
        <f ca="1">IF(H106=0,0,TableSearch(H106,arrayspace,$G$3,$F$3))</f>
        <v>9,-5</v>
      </c>
      <c r="K106" s="25">
        <f t="shared" ca="1" si="23"/>
        <v>1</v>
      </c>
    </row>
    <row r="107" spans="1:11">
      <c r="A107">
        <f t="shared" ca="1" si="18"/>
        <v>9</v>
      </c>
      <c r="B107">
        <f t="shared" ca="1" si="19"/>
        <v>4</v>
      </c>
      <c r="C107" t="str">
        <f t="shared" ca="1" si="15"/>
        <v>A</v>
      </c>
      <c r="D107" t="str">
        <f t="shared" ca="1" si="16"/>
        <v>8</v>
      </c>
      <c r="E107" t="str">
        <f t="shared" ca="1" si="20"/>
        <v>elec4</v>
      </c>
      <c r="F107" s="25" t="str">
        <f t="shared" si="21"/>
        <v>C 29</v>
      </c>
      <c r="G107" s="25">
        <f t="shared" ca="1" si="17"/>
        <v>95</v>
      </c>
      <c r="H107" s="25">
        <f t="shared" ca="1" si="22"/>
        <v>4</v>
      </c>
      <c r="I107" s="25">
        <f t="shared" ca="1" si="24"/>
        <v>4</v>
      </c>
      <c r="J107" s="25" t="str">
        <f ca="1">IF(H107=0,0,TableSearch(H107,arrayspace,$G$3,$F$3))</f>
        <v>9,-4</v>
      </c>
      <c r="K107" s="25">
        <f t="shared" ca="1" si="23"/>
        <v>1</v>
      </c>
    </row>
    <row r="108" spans="1:11">
      <c r="A108">
        <f t="shared" ca="1" si="18"/>
        <v>9</v>
      </c>
      <c r="B108">
        <f t="shared" ca="1" si="19"/>
        <v>3</v>
      </c>
      <c r="C108" t="str">
        <f t="shared" ca="1" si="15"/>
        <v>A</v>
      </c>
      <c r="D108" t="str">
        <f t="shared" ca="1" si="16"/>
        <v>6</v>
      </c>
      <c r="E108" t="str">
        <f t="shared" ca="1" si="20"/>
        <v>elec3</v>
      </c>
      <c r="F108" s="25" t="str">
        <f t="shared" si="21"/>
        <v>C 30</v>
      </c>
      <c r="G108" s="25">
        <f t="shared" ca="1" si="17"/>
        <v>79</v>
      </c>
      <c r="H108" s="25">
        <f t="shared" ca="1" si="22"/>
        <v>3</v>
      </c>
      <c r="I108" s="25">
        <f t="shared" ca="1" si="24"/>
        <v>3</v>
      </c>
      <c r="J108" s="25" t="str">
        <f ca="1">IF(H108=0,0,TableSearch(H108,arrayspace,$G$3,$F$3))</f>
        <v>9,-3</v>
      </c>
      <c r="K108" s="25">
        <f t="shared" ca="1" si="23"/>
        <v>1</v>
      </c>
    </row>
    <row r="109" spans="1:11">
      <c r="A109">
        <f t="shared" ca="1" si="18"/>
        <v>9</v>
      </c>
      <c r="B109">
        <f t="shared" ca="1" si="19"/>
        <v>2</v>
      </c>
      <c r="C109" t="str">
        <f t="shared" ca="1" si="15"/>
        <v>A</v>
      </c>
      <c r="D109" t="str">
        <f t="shared" ca="1" si="16"/>
        <v>4</v>
      </c>
      <c r="E109" t="str">
        <f t="shared" ca="1" si="20"/>
        <v>elec2</v>
      </c>
      <c r="F109" s="25" t="str">
        <f t="shared" si="21"/>
        <v>C 31</v>
      </c>
      <c r="G109" s="25">
        <f t="shared" ca="1" si="17"/>
        <v>96</v>
      </c>
      <c r="H109" s="25">
        <f t="shared" ca="1" si="22"/>
        <v>2</v>
      </c>
      <c r="I109" s="25">
        <f t="shared" ca="1" si="24"/>
        <v>2</v>
      </c>
      <c r="J109" s="25" t="str">
        <f ca="1">IF(H109=0,0,TableSearch(H109,arrayspace,$G$3,$F$3))</f>
        <v>9,-2</v>
      </c>
      <c r="K109" s="25">
        <f t="shared" ca="1" si="23"/>
        <v>1</v>
      </c>
    </row>
    <row r="110" spans="1:11">
      <c r="A110">
        <f t="shared" ca="1" si="18"/>
        <v>9</v>
      </c>
      <c r="B110">
        <f t="shared" ca="1" si="19"/>
        <v>1</v>
      </c>
      <c r="C110" t="str">
        <f t="shared" ca="1" si="15"/>
        <v>A</v>
      </c>
      <c r="D110" t="str">
        <f t="shared" ca="1" si="16"/>
        <v>2</v>
      </c>
      <c r="E110" t="str">
        <f t="shared" ca="1" si="20"/>
        <v>elec1</v>
      </c>
      <c r="F110" s="25" t="str">
        <f t="shared" si="21"/>
        <v>C 32</v>
      </c>
      <c r="G110" s="25">
        <f t="shared" ca="1" si="17"/>
        <v>80</v>
      </c>
      <c r="H110" s="25">
        <f t="shared" ca="1" si="22"/>
        <v>1</v>
      </c>
      <c r="I110" s="25">
        <f t="shared" ca="1" si="24"/>
        <v>1</v>
      </c>
      <c r="J110" s="25" t="str">
        <f ca="1">IF(H110=0,0,TableSearch(H110,arrayspace,$G$3,$F$3))</f>
        <v>9,-1</v>
      </c>
      <c r="K110" s="25">
        <f t="shared" ca="1" si="23"/>
        <v>1</v>
      </c>
    </row>
    <row r="111" spans="1:11">
      <c r="H111" s="25">
        <f t="shared" ca="1" si="22"/>
        <v>0</v>
      </c>
      <c r="I111" s="25">
        <f t="shared" ca="1" si="24"/>
        <v>0</v>
      </c>
      <c r="J111" s="25">
        <f ca="1">IF(H111=0,0,TableSearch(H111,arrayspace,$G$3,$F$3))</f>
        <v>0</v>
      </c>
      <c r="K111" s="25">
        <f t="shared" ca="1" si="23"/>
        <v>0</v>
      </c>
    </row>
    <row r="112" spans="1:11">
      <c r="H112" s="25">
        <f t="shared" ref="H112:H142" ca="1" si="25">IF(H111=0,0,MAX(INDIRECT("i"&amp;MATCH(H111,I:I,)+1&amp;":i141")))</f>
        <v>0</v>
      </c>
      <c r="I112" s="25">
        <f t="shared" ca="1" si="24"/>
        <v>0</v>
      </c>
      <c r="J112" s="25">
        <f ca="1">IF(H112=0,0,TableSearch(H112,arrayspace,$G$3,$F$3))</f>
        <v>0</v>
      </c>
      <c r="K112" s="25">
        <f t="shared" ca="1" si="23"/>
        <v>0</v>
      </c>
    </row>
    <row r="113" spans="8:11">
      <c r="H113" s="25">
        <f t="shared" ca="1" si="25"/>
        <v>0</v>
      </c>
      <c r="I113" s="25">
        <f t="shared" ca="1" si="24"/>
        <v>0</v>
      </c>
      <c r="J113" s="25">
        <f ca="1">IF(H113=0,0,TableSearch(H113,arrayspace,$G$3,$F$3))</f>
        <v>0</v>
      </c>
      <c r="K113" s="25">
        <f t="shared" ca="1" si="23"/>
        <v>0</v>
      </c>
    </row>
    <row r="114" spans="8:11">
      <c r="H114" s="25">
        <f t="shared" ca="1" si="25"/>
        <v>0</v>
      </c>
      <c r="I114" s="25">
        <f t="shared" ca="1" si="24"/>
        <v>0</v>
      </c>
      <c r="J114" s="25">
        <f ca="1">IF(H114=0,0,TableSearch(H114,arrayspace,$G$3,$F$3))</f>
        <v>0</v>
      </c>
      <c r="K114" s="25">
        <f t="shared" ca="1" si="23"/>
        <v>0</v>
      </c>
    </row>
    <row r="115" spans="8:11">
      <c r="H115" s="25">
        <f t="shared" ca="1" si="25"/>
        <v>0</v>
      </c>
      <c r="I115" s="25">
        <f t="shared" ca="1" si="24"/>
        <v>0</v>
      </c>
      <c r="J115" s="25">
        <f ca="1">IF(H115=0,0,TableSearch(H115,arrayspace,$G$3,$F$3))</f>
        <v>0</v>
      </c>
      <c r="K115" s="25">
        <f t="shared" ca="1" si="23"/>
        <v>0</v>
      </c>
    </row>
    <row r="116" spans="8:11">
      <c r="H116" s="25">
        <f t="shared" ca="1" si="25"/>
        <v>0</v>
      </c>
      <c r="I116" s="25">
        <f t="shared" ca="1" si="24"/>
        <v>0</v>
      </c>
      <c r="J116" s="25">
        <f ca="1">IF(H116=0,0,TableSearch(H116,arrayspace,$G$3,$F$3))</f>
        <v>0</v>
      </c>
      <c r="K116" s="25">
        <f t="shared" ca="1" si="23"/>
        <v>0</v>
      </c>
    </row>
    <row r="117" spans="8:11">
      <c r="H117" s="25">
        <f t="shared" ca="1" si="25"/>
        <v>0</v>
      </c>
      <c r="I117" s="25">
        <f t="shared" ca="1" si="24"/>
        <v>0</v>
      </c>
      <c r="J117" s="25">
        <f ca="1">IF(H117=0,0,TableSearch(H117,arrayspace,$G$3,$F$3))</f>
        <v>0</v>
      </c>
      <c r="K117" s="25">
        <f t="shared" ca="1" si="23"/>
        <v>0</v>
      </c>
    </row>
    <row r="118" spans="8:11">
      <c r="H118" s="25">
        <f t="shared" ca="1" si="25"/>
        <v>0</v>
      </c>
      <c r="I118" s="25">
        <f t="shared" ca="1" si="24"/>
        <v>0</v>
      </c>
      <c r="J118" s="25">
        <f ca="1">IF(H118=0,0,TableSearch(H118,arrayspace,$G$3,$F$3))</f>
        <v>0</v>
      </c>
      <c r="K118" s="25">
        <f t="shared" ca="1" si="23"/>
        <v>0</v>
      </c>
    </row>
    <row r="119" spans="8:11">
      <c r="H119" s="25">
        <f t="shared" ca="1" si="25"/>
        <v>0</v>
      </c>
      <c r="I119" s="25">
        <f t="shared" ca="1" si="24"/>
        <v>0</v>
      </c>
      <c r="J119" s="25">
        <f ca="1">IF(H119=0,0,TableSearch(H119,arrayspace,$G$3,$F$3))</f>
        <v>0</v>
      </c>
      <c r="K119" s="25">
        <f t="shared" ca="1" si="23"/>
        <v>0</v>
      </c>
    </row>
    <row r="120" spans="8:11">
      <c r="H120" s="25">
        <f t="shared" ca="1" si="25"/>
        <v>0</v>
      </c>
      <c r="I120" s="25">
        <f t="shared" ca="1" si="24"/>
        <v>0</v>
      </c>
      <c r="J120" s="25">
        <f ca="1">IF(H120=0,0,TableSearch(H120,arrayspace,$G$3,$F$3))</f>
        <v>0</v>
      </c>
      <c r="K120" s="25">
        <f t="shared" ca="1" si="23"/>
        <v>0</v>
      </c>
    </row>
    <row r="121" spans="8:11">
      <c r="H121" s="25">
        <f t="shared" ca="1" si="25"/>
        <v>0</v>
      </c>
      <c r="I121" s="25">
        <f t="shared" ca="1" si="24"/>
        <v>0</v>
      </c>
      <c r="J121" s="25">
        <f ca="1">IF(H121=0,0,TableSearch(H121,arrayspace,$G$3,$F$3))</f>
        <v>0</v>
      </c>
      <c r="K121" s="25">
        <f t="shared" ca="1" si="23"/>
        <v>0</v>
      </c>
    </row>
    <row r="122" spans="8:11">
      <c r="H122" s="25">
        <f t="shared" ca="1" si="25"/>
        <v>0</v>
      </c>
      <c r="I122" s="25">
        <f t="shared" ca="1" si="24"/>
        <v>0</v>
      </c>
      <c r="J122" s="25">
        <f ca="1">IF(H122=0,0,TableSearch(H122,arrayspace,$G$3,$F$3))</f>
        <v>0</v>
      </c>
      <c r="K122" s="25">
        <f t="shared" ca="1" si="23"/>
        <v>0</v>
      </c>
    </row>
    <row r="123" spans="8:11">
      <c r="H123" s="25">
        <f t="shared" ca="1" si="25"/>
        <v>0</v>
      </c>
      <c r="I123" s="25">
        <f t="shared" ca="1" si="24"/>
        <v>0</v>
      </c>
      <c r="J123" s="25">
        <f ca="1">IF(H123=0,0,TableSearch(H123,arrayspace,$G$3,$F$3))</f>
        <v>0</v>
      </c>
      <c r="K123" s="25">
        <f t="shared" ca="1" si="23"/>
        <v>0</v>
      </c>
    </row>
    <row r="124" spans="8:11">
      <c r="H124" s="25">
        <f t="shared" ca="1" si="25"/>
        <v>0</v>
      </c>
      <c r="I124" s="25">
        <f t="shared" ca="1" si="24"/>
        <v>0</v>
      </c>
      <c r="J124" s="25">
        <f ca="1">IF(H124=0,0,TableSearch(H124,arrayspace,$G$3,$F$3))</f>
        <v>0</v>
      </c>
      <c r="K124" s="25">
        <f t="shared" ca="1" si="23"/>
        <v>0</v>
      </c>
    </row>
    <row r="125" spans="8:11">
      <c r="H125" s="25">
        <f t="shared" ca="1" si="25"/>
        <v>0</v>
      </c>
      <c r="I125" s="25">
        <f t="shared" ca="1" si="24"/>
        <v>0</v>
      </c>
      <c r="J125" s="25">
        <f ca="1">IF(H125=0,0,TableSearch(H125,arrayspace,$G$3,$F$3))</f>
        <v>0</v>
      </c>
      <c r="K125" s="25">
        <f t="shared" ca="1" si="23"/>
        <v>0</v>
      </c>
    </row>
    <row r="126" spans="8:11">
      <c r="H126" s="25">
        <f t="shared" ca="1" si="25"/>
        <v>0</v>
      </c>
      <c r="I126" s="25">
        <f t="shared" ca="1" si="24"/>
        <v>0</v>
      </c>
      <c r="J126" s="25">
        <f ca="1">IF(H126=0,0,TableSearch(H126,arrayspace,$G$3,$F$3))</f>
        <v>0</v>
      </c>
      <c r="K126" s="25">
        <f t="shared" ca="1" si="23"/>
        <v>0</v>
      </c>
    </row>
    <row r="127" spans="8:11">
      <c r="H127" s="25">
        <f t="shared" ca="1" si="25"/>
        <v>0</v>
      </c>
      <c r="I127" s="25">
        <f t="shared" ca="1" si="24"/>
        <v>0</v>
      </c>
      <c r="J127" s="25">
        <f ca="1">IF(H127=0,0,TableSearch(H127,arrayspace,$G$3,$F$3))</f>
        <v>0</v>
      </c>
      <c r="K127" s="25">
        <f t="shared" ca="1" si="23"/>
        <v>0</v>
      </c>
    </row>
    <row r="128" spans="8:11">
      <c r="H128" s="25">
        <f t="shared" ca="1" si="25"/>
        <v>0</v>
      </c>
      <c r="I128" s="25">
        <f t="shared" ca="1" si="24"/>
        <v>0</v>
      </c>
      <c r="J128" s="25">
        <f ca="1">IF(H128=0,0,TableSearch(H128,arrayspace,$G$3,$F$3))</f>
        <v>0</v>
      </c>
      <c r="K128" s="25">
        <f t="shared" ca="1" si="23"/>
        <v>0</v>
      </c>
    </row>
    <row r="129" spans="8:11">
      <c r="H129" s="25">
        <f t="shared" ca="1" si="25"/>
        <v>0</v>
      </c>
      <c r="I129" s="25">
        <f t="shared" ca="1" si="24"/>
        <v>0</v>
      </c>
      <c r="J129" s="25">
        <f ca="1">IF(H129=0,0,TableSearch(H129,arrayspace,$G$3,$F$3))</f>
        <v>0</v>
      </c>
      <c r="K129" s="25">
        <f t="shared" ca="1" si="23"/>
        <v>0</v>
      </c>
    </row>
    <row r="130" spans="8:11">
      <c r="H130" s="25">
        <f t="shared" ca="1" si="25"/>
        <v>0</v>
      </c>
      <c r="I130" s="25">
        <f t="shared" ca="1" si="24"/>
        <v>0</v>
      </c>
      <c r="J130" s="25">
        <f ca="1">IF(H130=0,0,TableSearch(H130,arrayspace,$G$3,$F$3))</f>
        <v>0</v>
      </c>
      <c r="K130" s="25">
        <f t="shared" ca="1" si="23"/>
        <v>0</v>
      </c>
    </row>
    <row r="131" spans="8:11">
      <c r="H131" s="25">
        <f t="shared" ca="1" si="25"/>
        <v>0</v>
      </c>
      <c r="I131" s="25">
        <f t="shared" ca="1" si="24"/>
        <v>0</v>
      </c>
      <c r="J131" s="25">
        <f ca="1">IF(H131=0,0,TableSearch(H131,arrayspace,$G$3,$F$3))</f>
        <v>0</v>
      </c>
      <c r="K131" s="25">
        <f t="shared" ca="1" si="23"/>
        <v>0</v>
      </c>
    </row>
    <row r="132" spans="8:11">
      <c r="H132" s="25">
        <f t="shared" ca="1" si="25"/>
        <v>0</v>
      </c>
      <c r="I132" s="25">
        <f t="shared" ca="1" si="24"/>
        <v>0</v>
      </c>
      <c r="J132" s="25">
        <f ca="1">IF(H132=0,0,TableSearch(H132,arrayspace,$G$3,$F$3))</f>
        <v>0</v>
      </c>
      <c r="K132" s="25">
        <f t="shared" ca="1" si="23"/>
        <v>0</v>
      </c>
    </row>
    <row r="133" spans="8:11">
      <c r="H133" s="25">
        <f t="shared" ca="1" si="25"/>
        <v>0</v>
      </c>
      <c r="I133" s="25">
        <f t="shared" ca="1" si="24"/>
        <v>0</v>
      </c>
      <c r="J133" s="25">
        <f ca="1">IF(H133=0,0,TableSearch(H133,arrayspace,$G$3,$F$3))</f>
        <v>0</v>
      </c>
      <c r="K133" s="25">
        <f t="shared" ca="1" si="23"/>
        <v>0</v>
      </c>
    </row>
    <row r="134" spans="8:11">
      <c r="H134" s="25">
        <f t="shared" ca="1" si="25"/>
        <v>0</v>
      </c>
      <c r="I134" s="25">
        <f t="shared" ca="1" si="24"/>
        <v>0</v>
      </c>
      <c r="J134" s="25">
        <f ca="1">IF(H134=0,0,TableSearch(H134,arrayspace,$G$3,$F$3))</f>
        <v>0</v>
      </c>
      <c r="K134" s="25">
        <f t="shared" ca="1" si="23"/>
        <v>0</v>
      </c>
    </row>
    <row r="135" spans="8:11">
      <c r="H135" s="25">
        <f t="shared" ca="1" si="25"/>
        <v>0</v>
      </c>
      <c r="I135" s="25">
        <f t="shared" ca="1" si="24"/>
        <v>0</v>
      </c>
      <c r="J135" s="25">
        <f ca="1">IF(H135=0,0,TableSearch(H135,arrayspace,$G$3,$F$3))</f>
        <v>0</v>
      </c>
      <c r="K135" s="25">
        <f t="shared" ca="1" si="23"/>
        <v>0</v>
      </c>
    </row>
    <row r="136" spans="8:11">
      <c r="H136" s="25">
        <f t="shared" ca="1" si="25"/>
        <v>0</v>
      </c>
      <c r="I136" s="25">
        <f t="shared" ca="1" si="24"/>
        <v>0</v>
      </c>
      <c r="J136" s="25">
        <f ca="1">IF(H136=0,0,TableSearch(H136,arrayspace,$G$3,$F$3))</f>
        <v>0</v>
      </c>
      <c r="K136" s="25">
        <f t="shared" ca="1" si="23"/>
        <v>0</v>
      </c>
    </row>
    <row r="137" spans="8:11">
      <c r="H137" s="25">
        <f t="shared" ca="1" si="25"/>
        <v>0</v>
      </c>
      <c r="I137" s="25">
        <f t="shared" ca="1" si="24"/>
        <v>0</v>
      </c>
      <c r="J137" s="25">
        <f ca="1">IF(H137=0,0,TableSearch(H137,arrayspace,$G$3,$F$3))</f>
        <v>0</v>
      </c>
      <c r="K137" s="25">
        <f t="shared" ca="1" si="23"/>
        <v>0</v>
      </c>
    </row>
    <row r="138" spans="8:11">
      <c r="H138" s="25">
        <f t="shared" ca="1" si="25"/>
        <v>0</v>
      </c>
      <c r="I138" s="25">
        <f t="shared" ca="1" si="24"/>
        <v>0</v>
      </c>
      <c r="J138" s="25">
        <f ca="1">IF(H138=0,0,TableSearch(H138,arrayspace,$G$3,$F$3))</f>
        <v>0</v>
      </c>
      <c r="K138" s="25">
        <f t="shared" ca="1" si="23"/>
        <v>0</v>
      </c>
    </row>
    <row r="139" spans="8:11">
      <c r="H139" s="25">
        <f t="shared" ca="1" si="25"/>
        <v>0</v>
      </c>
      <c r="I139" s="25">
        <f t="shared" ca="1" si="24"/>
        <v>0</v>
      </c>
      <c r="J139" s="25">
        <f ca="1">IF(H139=0,0,TableSearch(H139,arrayspace,$G$3,$F$3))</f>
        <v>0</v>
      </c>
      <c r="K139" s="25">
        <f t="shared" ca="1" si="23"/>
        <v>0</v>
      </c>
    </row>
    <row r="140" spans="8:11">
      <c r="H140" s="25">
        <f t="shared" ca="1" si="25"/>
        <v>0</v>
      </c>
      <c r="I140" s="25">
        <f t="shared" ca="1" si="24"/>
        <v>0</v>
      </c>
      <c r="J140" s="25">
        <f ca="1">IF(H140=0,0,TableSearch(H140,arrayspace,$G$3,$F$3))</f>
        <v>0</v>
      </c>
      <c r="K140" s="25">
        <f t="shared" ca="1" si="23"/>
        <v>0</v>
      </c>
    </row>
    <row r="141" spans="8:11">
      <c r="H141" s="25">
        <f t="shared" ca="1" si="25"/>
        <v>0</v>
      </c>
      <c r="I141" s="25">
        <f t="shared" ca="1" si="24"/>
        <v>0</v>
      </c>
      <c r="J141" s="25">
        <f ca="1">IF(H141=0,0,TableSearch(H141,arrayspace,$G$3,$F$3))</f>
        <v>0</v>
      </c>
      <c r="K141" s="25">
        <f t="shared" ca="1" si="23"/>
        <v>0</v>
      </c>
    </row>
    <row r="142" spans="8:11">
      <c r="H142" s="25">
        <f t="shared" ca="1" si="25"/>
        <v>0</v>
      </c>
      <c r="I142" s="25">
        <f t="shared" ca="1" si="24"/>
        <v>0</v>
      </c>
      <c r="J142" s="25">
        <f ca="1">IF(H142=0,0,TableSearch(H142,arrayspace,$G$3,$F$3))</f>
        <v>0</v>
      </c>
      <c r="K142" s="25">
        <f t="shared" ca="1" si="23"/>
        <v>0</v>
      </c>
    </row>
  </sheetData>
  <phoneticPr fontId="29"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af89de7-e90f-4498-b82f-cfd824fdf69f">
      <Terms xmlns="http://schemas.microsoft.com/office/infopath/2007/PartnerControls"/>
    </lcf76f155ced4ddcb4097134ff3c332f>
    <TaxCatchAll xmlns="ca9fea46-22b1-4d83-8e0c-df112a487b0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DF26BEDCB525843B5B5DC10EBB5612F" ma:contentTypeVersion="15" ma:contentTypeDescription="Create a new document." ma:contentTypeScope="" ma:versionID="c54dcdaf50cb4e3608dd84bba36ae792">
  <xsd:schema xmlns:xsd="http://www.w3.org/2001/XMLSchema" xmlns:xs="http://www.w3.org/2001/XMLSchema" xmlns:p="http://schemas.microsoft.com/office/2006/metadata/properties" xmlns:ns2="aaf89de7-e90f-4498-b82f-cfd824fdf69f" xmlns:ns3="ca9fea46-22b1-4d83-8e0c-df112a487b05" targetNamespace="http://schemas.microsoft.com/office/2006/metadata/properties" ma:root="true" ma:fieldsID="f0916a477dfa4609efc37dfd061c114d" ns2:_="" ns3:_="">
    <xsd:import namespace="aaf89de7-e90f-4498-b82f-cfd824fdf69f"/>
    <xsd:import namespace="ca9fea46-22b1-4d83-8e0c-df112a487b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f89de7-e90f-4498-b82f-cfd824fdf6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0e6601-6f2a-4fd5-a0ba-0399ad748384"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a9fea46-22b1-4d83-8e0c-df112a487b05"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4817ca8c-5c16-4f59-a17c-1df5a70b6d5b}" ma:internalName="TaxCatchAll" ma:showField="CatchAllData" ma:web="ca9fea46-22b1-4d83-8e0c-df112a487b0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8E5BD16-E1EE-483D-B22B-E35DECB3DFC1}">
  <ds:schemaRefs>
    <ds:schemaRef ds:uri="http://schemas.microsoft.com/office/2006/metadata/properties"/>
    <ds:schemaRef ds:uri="http://schemas.microsoft.com/office/infopath/2007/PartnerControls"/>
    <ds:schemaRef ds:uri="aaf89de7-e90f-4498-b82f-cfd824fdf69f"/>
    <ds:schemaRef ds:uri="ca9fea46-22b1-4d83-8e0c-df112a487b05"/>
  </ds:schemaRefs>
</ds:datastoreItem>
</file>

<file path=customXml/itemProps2.xml><?xml version="1.0" encoding="utf-8"?>
<ds:datastoreItem xmlns:ds="http://schemas.openxmlformats.org/officeDocument/2006/customXml" ds:itemID="{B042A400-93C8-41C6-BB93-B7AB17B370C4}">
  <ds:schemaRefs>
    <ds:schemaRef ds:uri="http://schemas.microsoft.com/sharepoint/v3/contenttype/forms"/>
  </ds:schemaRefs>
</ds:datastoreItem>
</file>

<file path=customXml/itemProps3.xml><?xml version="1.0" encoding="utf-8"?>
<ds:datastoreItem xmlns:ds="http://schemas.openxmlformats.org/officeDocument/2006/customXml" ds:itemID="{8C04964F-640C-4591-A6C2-16F00C96FE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f89de7-e90f-4498-b82f-cfd824fdf69f"/>
    <ds:schemaRef ds:uri="ca9fea46-22b1-4d83-8e0c-df112a487b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autoZ data</vt:lpstr>
      <vt:lpstr>Z check</vt:lpstr>
      <vt:lpstr>Cerebus mapping.xls</vt:lpstr>
      <vt:lpstr>arraycols</vt:lpstr>
      <vt:lpstr>arrayrows</vt:lpstr>
      <vt:lpstr>arrayspace</vt:lpstr>
    </vt:vector>
  </TitlesOfParts>
  <Company>BionicTechnologies,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Sexton</dc:creator>
  <cp:lastModifiedBy>Vinh Ngo</cp:lastModifiedBy>
  <cp:lastPrinted>2024-11-05T22:50:27Z</cp:lastPrinted>
  <dcterms:created xsi:type="dcterms:W3CDTF">2002-03-04T19:19:02Z</dcterms:created>
  <dcterms:modified xsi:type="dcterms:W3CDTF">2025-02-27T16:48:57Z</dcterms:modified>
</cp:coreProperties>
</file>